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51211457\Downloads\"/>
    </mc:Choice>
  </mc:AlternateContent>
  <bookViews>
    <workbookView xWindow="480" yWindow="105" windowWidth="17145" windowHeight="8535" activeTab="3"/>
  </bookViews>
  <sheets>
    <sheet name="SUMMARY KONEKSITAS" sheetId="1" r:id="rId1"/>
    <sheet name="KONEKSTAS AR" sheetId="4" r:id="rId2"/>
    <sheet name="KONEKSTAS UII" sheetId="5" r:id="rId3"/>
    <sheet name="SELISIH" sheetId="6" r:id="rId4"/>
  </sheets>
  <definedNames>
    <definedName name="_xlnm._FilterDatabase" localSheetId="3" hidden="1">SELISIH!$A$1:$H$75</definedName>
  </definedNames>
  <calcPr calcId="152511"/>
</workbook>
</file>

<file path=xl/calcChain.xml><?xml version="1.0" encoding="utf-8"?>
<calcChain xmlns="http://schemas.openxmlformats.org/spreadsheetml/2006/main">
  <c r="E402" i="1" l="1"/>
  <c r="D402" i="1"/>
  <c r="E404" i="1"/>
  <c r="D403" i="1"/>
  <c r="D404" i="1" s="1"/>
  <c r="F402" i="1"/>
  <c r="F404" i="1" s="1"/>
  <c r="D398" i="1"/>
  <c r="C398" i="1"/>
</calcChain>
</file>

<file path=xl/sharedStrings.xml><?xml version="1.0" encoding="utf-8"?>
<sst xmlns="http://schemas.openxmlformats.org/spreadsheetml/2006/main" count="1672" uniqueCount="408">
  <si>
    <t xml:space="preserve">   </t>
  </si>
  <si>
    <t>BRANCHID</t>
  </si>
  <si>
    <t>SUM(M.BAL_PRIN)</t>
  </si>
  <si>
    <t>SUM(M.BAL_INTR)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</si>
  <si>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</si>
  <si>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</si>
  <si>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</si>
  <si>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</si>
  <si>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</si>
  <si>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</si>
  <si>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</si>
  <si>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</si>
  <si>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</si>
  <si>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</si>
  <si>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</si>
  <si>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</si>
  <si>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</si>
  <si>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</si>
  <si>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</si>
  <si>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</si>
  <si>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</si>
  <si>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</si>
  <si>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</si>
  <si>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</si>
  <si>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</si>
  <si>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</si>
  <si>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</si>
  <si>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</si>
  <si>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</si>
  <si>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</si>
  <si>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</si>
  <si>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</si>
  <si>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</si>
  <si>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</si>
  <si>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</si>
  <si>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</si>
  <si>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0136</t>
  </si>
  <si>
    <t>0138</t>
  </si>
  <si>
    <t>0139</t>
  </si>
  <si>
    <t>0141</t>
  </si>
  <si>
    <t>0142</t>
  </si>
  <si>
    <t>0143</t>
  </si>
  <si>
    <t>0146</t>
  </si>
  <si>
    <t>0147</t>
  </si>
  <si>
    <t>0148</t>
  </si>
  <si>
    <t>0201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</si>
  <si>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</si>
  <si>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</si>
  <si>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</si>
  <si>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</si>
  <si>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</si>
  <si>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</si>
  <si>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</si>
  <si>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</si>
  <si>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</si>
  <si>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</si>
  <si>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0214</t>
  </si>
  <si>
    <t>0216</t>
  </si>
  <si>
    <t>0217</t>
  </si>
  <si>
    <t>0220</t>
  </si>
  <si>
    <t>0221</t>
  </si>
  <si>
    <t>0226</t>
  </si>
  <si>
    <t>0230</t>
  </si>
  <si>
    <t>0241</t>
  </si>
  <si>
    <t>0251</t>
  </si>
  <si>
    <t>0252</t>
  </si>
  <si>
    <t>0261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</si>
  <si>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</si>
  <si>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</si>
  <si>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</si>
  <si>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</si>
  <si>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</si>
  <si>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</si>
  <si>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</si>
  <si>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</si>
  <si>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</si>
  <si>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</si>
  <si>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</si>
  <si>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</si>
  <si>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</si>
  <si>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</si>
  <si>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0316</t>
  </si>
  <si>
    <t>0318</t>
  </si>
  <si>
    <t>0321</t>
  </si>
  <si>
    <t>0322</t>
  </si>
  <si>
    <t>0326</t>
  </si>
  <si>
    <t>0327</t>
  </si>
  <si>
    <t>0331</t>
  </si>
  <si>
    <t>0333</t>
  </si>
  <si>
    <t>0339</t>
  </si>
  <si>
    <t>0340</t>
  </si>
  <si>
    <t>0342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</si>
  <si>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</si>
  <si>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</si>
  <si>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</si>
  <si>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</si>
  <si>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</si>
  <si>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</si>
  <si>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</si>
  <si>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</si>
  <si>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</si>
  <si>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</si>
  <si>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</si>
  <si>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</si>
  <si>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</si>
  <si>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0415</t>
  </si>
  <si>
    <t>0421</t>
  </si>
  <si>
    <t>0425</t>
  </si>
  <si>
    <t>0430</t>
  </si>
  <si>
    <t>0431</t>
  </si>
  <si>
    <t>0441</t>
  </si>
  <si>
    <t>0452</t>
  </si>
  <si>
    <t>0455</t>
  </si>
  <si>
    <t>0501</t>
  </si>
  <si>
    <t>0502</t>
  </si>
  <si>
    <t>0504</t>
  </si>
  <si>
    <t>0505</t>
  </si>
  <si>
    <t>0506</t>
  </si>
  <si>
    <t>0507</t>
  </si>
  <si>
    <t>0508</t>
  </si>
  <si>
    <t>0509</t>
  </si>
  <si>
    <t>0510</t>
  </si>
  <si>
    <t>0512</t>
  </si>
  <si>
    <t>0513</t>
  </si>
  <si>
    <t>0518</t>
  </si>
  <si>
    <t>0601</t>
  </si>
  <si>
    <t>0602</t>
  </si>
  <si>
    <t>0603</t>
  </si>
  <si>
    <t>0604</t>
  </si>
  <si>
    <t>0605</t>
  </si>
  <si>
    <t>0606</t>
  </si>
  <si>
    <t>0607</t>
  </si>
  <si>
    <t>0609</t>
  </si>
  <si>
    <t>0610</t>
  </si>
  <si>
    <t>0611</t>
  </si>
  <si>
    <t>0612</t>
  </si>
  <si>
    <t>0613</t>
  </si>
  <si>
    <t>0614</t>
  </si>
  <si>
    <t>0615</t>
  </si>
  <si>
    <t>0618</t>
  </si>
  <si>
    <t>0619</t>
  </si>
  <si>
    <t>0620</t>
  </si>
  <si>
    <t>0621</t>
  </si>
  <si>
    <t>0622</t>
  </si>
  <si>
    <t>0623</t>
  </si>
  <si>
    <t>0624</t>
  </si>
  <si>
    <t>0625</t>
  </si>
  <si>
    <t>0628</t>
  </si>
  <si>
    <t>0629</t>
  </si>
  <si>
    <t>0631</t>
  </si>
  <si>
    <t>0640</t>
  </si>
  <si>
    <t>0641</t>
  </si>
  <si>
    <t>0642</t>
  </si>
  <si>
    <t>0643</t>
  </si>
  <si>
    <t>0644</t>
  </si>
  <si>
    <t>0653</t>
  </si>
  <si>
    <t>0655</t>
  </si>
  <si>
    <t>0656</t>
  </si>
  <si>
    <t>0657</t>
  </si>
  <si>
    <t>0663</t>
  </si>
  <si>
    <t>0669</t>
  </si>
  <si>
    <t>0675</t>
  </si>
  <si>
    <t>0679</t>
  </si>
  <si>
    <t>0681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</si>
  <si>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</si>
  <si>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</si>
  <si>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</si>
  <si>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</si>
  <si>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</si>
  <si>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</si>
  <si>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</si>
  <si>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</si>
  <si>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</si>
  <si>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0712</t>
  </si>
  <si>
    <t>0720</t>
  </si>
  <si>
    <t>0721</t>
  </si>
  <si>
    <t>0722</t>
  </si>
  <si>
    <t>0724</t>
  </si>
  <si>
    <t>0727</t>
  </si>
  <si>
    <t>0728</t>
  </si>
  <si>
    <t>0729</t>
  </si>
  <si>
    <t>0737</t>
  </si>
  <si>
    <t>0738</t>
  </si>
  <si>
    <t>0739</t>
  </si>
  <si>
    <t>0747</t>
  </si>
  <si>
    <t>0753</t>
  </si>
  <si>
    <t>0754</t>
  </si>
  <si>
    <t>0755</t>
  </si>
  <si>
    <t>0759</t>
  </si>
  <si>
    <t>0787</t>
  </si>
  <si>
    <t>0801</t>
  </si>
  <si>
    <t>0802</t>
  </si>
  <si>
    <t>0803</t>
  </si>
  <si>
    <t>0805</t>
  </si>
  <si>
    <t>0807</t>
  </si>
  <si>
    <t>0808</t>
  </si>
  <si>
    <t>0809</t>
  </si>
  <si>
    <t>0810</t>
  </si>
  <si>
    <t>0811</t>
  </si>
  <si>
    <t>0812</t>
  </si>
  <si>
    <t>0813</t>
  </si>
  <si>
    <t>0817</t>
  </si>
  <si>
    <t>0818</t>
  </si>
  <si>
    <t>0821</t>
  </si>
  <si>
    <t>0822</t>
  </si>
  <si>
    <t>0834</t>
  </si>
  <si>
    <t>0835</t>
  </si>
  <si>
    <t>0867</t>
  </si>
  <si>
    <t>2115</t>
  </si>
  <si>
    <t>4662</t>
  </si>
  <si>
    <t>SUM</t>
  </si>
  <si>
    <t xml:space="preserve">REMARK </t>
  </si>
  <si>
    <t>POKOK</t>
  </si>
  <si>
    <t>UII</t>
  </si>
  <si>
    <t>AR</t>
  </si>
  <si>
    <t>AGING</t>
  </si>
  <si>
    <t>SAP</t>
  </si>
  <si>
    <t>SELISIH</t>
  </si>
  <si>
    <t>Posting period</t>
  </si>
  <si>
    <t>Year</t>
  </si>
  <si>
    <t>G/L</t>
  </si>
  <si>
    <t>Customer</t>
  </si>
  <si>
    <t>Assignment</t>
  </si>
  <si>
    <t>AoB Date</t>
  </si>
  <si>
    <t>Cust. Description</t>
  </si>
  <si>
    <t>G/L Description</t>
  </si>
  <si>
    <t>Currency</t>
  </si>
  <si>
    <t>SAP Amount</t>
  </si>
  <si>
    <t>Other Amount</t>
  </si>
  <si>
    <t>Portion</t>
  </si>
  <si>
    <t>Status</t>
  </si>
  <si>
    <t>Status PK</t>
  </si>
  <si>
    <t>Logical system</t>
  </si>
  <si>
    <t>Job name</t>
  </si>
  <si>
    <t>User</t>
  </si>
  <si>
    <t>Date</t>
  </si>
  <si>
    <t>Time</t>
  </si>
  <si>
    <t>KodeCust</t>
  </si>
  <si>
    <t>005</t>
  </si>
  <si>
    <t>2024</t>
  </si>
  <si>
    <t>111001</t>
  </si>
  <si>
    <t>BI23119241</t>
  </si>
  <si>
    <t>013623119241</t>
  </si>
  <si>
    <t>SARTINI MAYA SISCA SARTINI MAYA SIS</t>
  </si>
  <si>
    <t>PIUTANG PEMBIAYAAN KONSUMEN</t>
  </si>
  <si>
    <t>IDR</t>
  </si>
  <si>
    <t>UNMATCH</t>
  </si>
  <si>
    <t/>
  </si>
  <si>
    <t>111001_3105_04</t>
  </si>
  <si>
    <t>SAPJOBS</t>
  </si>
  <si>
    <t>BI</t>
  </si>
  <si>
    <t>MB21115598</t>
  </si>
  <si>
    <t>050121115598</t>
  </si>
  <si>
    <t>FAHMY HYZAM ZAKARIA FAHMY HYZAM ZAK</t>
  </si>
  <si>
    <t>111001_3105_03</t>
  </si>
  <si>
    <t>MB</t>
  </si>
  <si>
    <t>MB21121471</t>
  </si>
  <si>
    <t>050121121471</t>
  </si>
  <si>
    <t>I MADE SELAMAT I MADE SELAMAT</t>
  </si>
  <si>
    <t>MB22112946</t>
  </si>
  <si>
    <t>050122112946</t>
  </si>
  <si>
    <t>AKHMAD BADRI AKHMAD BADRI</t>
  </si>
  <si>
    <t>MB22115183</t>
  </si>
  <si>
    <t>050122115183</t>
  </si>
  <si>
    <t>IMANUEL PRAKOSO IMANUEL PRAKOSO</t>
  </si>
  <si>
    <t>MB22118734</t>
  </si>
  <si>
    <t>050122118734</t>
  </si>
  <si>
    <t>MULYONO MULYONO</t>
  </si>
  <si>
    <t>MB22125641</t>
  </si>
  <si>
    <t>050122125641</t>
  </si>
  <si>
    <t>NI LUH PUTU SUMERTINI</t>
  </si>
  <si>
    <t>MB23111118</t>
  </si>
  <si>
    <t>050123111118</t>
  </si>
  <si>
    <t>NGURAH EDI MANDALA NGURAH EDI MANDA</t>
  </si>
  <si>
    <t>MB23114192</t>
  </si>
  <si>
    <t>050123114192</t>
  </si>
  <si>
    <t>I PUTU SUKANADI PUTRA</t>
  </si>
  <si>
    <t>MB23117468</t>
  </si>
  <si>
    <t>050123117468</t>
  </si>
  <si>
    <t>KETUT HINDI LESTARI PUTRI</t>
  </si>
  <si>
    <t>MB23117634</t>
  </si>
  <si>
    <t>050123117634</t>
  </si>
  <si>
    <t>I KETUT SUARDIKA I KETUT SUARDIKA</t>
  </si>
  <si>
    <t>MB23119133</t>
  </si>
  <si>
    <t>050123119133</t>
  </si>
  <si>
    <t>ALDI YONATHAN SOETANTO</t>
  </si>
  <si>
    <t>MB23122462</t>
  </si>
  <si>
    <t>050123122462</t>
  </si>
  <si>
    <t>IRSYADI IRSYADI</t>
  </si>
  <si>
    <t>MB23123580</t>
  </si>
  <si>
    <t>050123123580</t>
  </si>
  <si>
    <t>PAUZAN ALMAKKI PAUZAN ALMAKKI</t>
  </si>
  <si>
    <t>MB23123630</t>
  </si>
  <si>
    <t>050123123630</t>
  </si>
  <si>
    <t>RADIMAN RADIMAN</t>
  </si>
  <si>
    <t>MB23123853</t>
  </si>
  <si>
    <t>050123123853</t>
  </si>
  <si>
    <t>I KOMANG PUTU SANTIKA</t>
  </si>
  <si>
    <t>MB23124141</t>
  </si>
  <si>
    <t>050123124141</t>
  </si>
  <si>
    <t>MAINI MAINI</t>
  </si>
  <si>
    <t>MB23126268</t>
  </si>
  <si>
    <t>050123126268</t>
  </si>
  <si>
    <t>EGO ADRIANTO S SOS EGO ADRIANTO S S</t>
  </si>
  <si>
    <t>MB23126587</t>
  </si>
  <si>
    <t>050123126587</t>
  </si>
  <si>
    <t>I KOMANG AGUS KAWI I KOMANG AGUS KA</t>
  </si>
  <si>
    <t>MB23126707</t>
  </si>
  <si>
    <t>050123126707</t>
  </si>
  <si>
    <t>NI WAYAN MURTI NI WAYAN MURTI</t>
  </si>
  <si>
    <t>MB23127012</t>
  </si>
  <si>
    <t>050123127012</t>
  </si>
  <si>
    <t>NENGAH SANDIANA NENGAH SANDIANA</t>
  </si>
  <si>
    <t>MB23129769</t>
  </si>
  <si>
    <t>050123129769</t>
  </si>
  <si>
    <t>GST NGR BGS CHANDRA KRISNA</t>
  </si>
  <si>
    <t>MB23130463</t>
  </si>
  <si>
    <t>050123130463</t>
  </si>
  <si>
    <t>SUWAJI RIZAL SUWAJI RIZAL</t>
  </si>
  <si>
    <t>MB23131002</t>
  </si>
  <si>
    <t>050123131002</t>
  </si>
  <si>
    <t>I MADE DARMAWAN I MADE DARMAWAN</t>
  </si>
  <si>
    <t>MB23132332</t>
  </si>
  <si>
    <t>050123132332</t>
  </si>
  <si>
    <t>IDA AYU PUTRA SUGIANTINI</t>
  </si>
  <si>
    <t>MC20110991</t>
  </si>
  <si>
    <t>050220110991</t>
  </si>
  <si>
    <t>NI KOMANG ARMINI NI KOMANG ARMINI</t>
  </si>
  <si>
    <t>111001_3105_08</t>
  </si>
  <si>
    <t>MC</t>
  </si>
  <si>
    <t>MC21112041</t>
  </si>
  <si>
    <t>050221112041</t>
  </si>
  <si>
    <t>IR IR I WAYAN R ADNYANA PUTRA</t>
  </si>
  <si>
    <t>MC22111485</t>
  </si>
  <si>
    <t>050222111485</t>
  </si>
  <si>
    <t>I WAYAN SUDIATMIKA I WAYAN SUDIATMI</t>
  </si>
  <si>
    <t>MC22114630</t>
  </si>
  <si>
    <t>050222114630</t>
  </si>
  <si>
    <t>I KOMANG HAMERTA I KOMANG HAMERTA</t>
  </si>
  <si>
    <t>MC22114895</t>
  </si>
  <si>
    <t>050222114895</t>
  </si>
  <si>
    <t>I PUTU DIAN PRATAMA I PUTU DIAN PRA</t>
  </si>
  <si>
    <t>MC22115277</t>
  </si>
  <si>
    <t>050222115277</t>
  </si>
  <si>
    <t>I PUTU AGUS HERMAWAN</t>
  </si>
  <si>
    <t>MC23110662</t>
  </si>
  <si>
    <t>050223110662</t>
  </si>
  <si>
    <t>I WAYAN PERIN I WAYAN PERIN</t>
  </si>
  <si>
    <t>MC23112458</t>
  </si>
  <si>
    <t>050223112458</t>
  </si>
  <si>
    <t>I GEDE ARYA NATA WIJAYA</t>
  </si>
  <si>
    <t>MC23113010</t>
  </si>
  <si>
    <t>050223113010</t>
  </si>
  <si>
    <t>MADE SUTRISPRIYANTI MADE SUTRISPRIY</t>
  </si>
  <si>
    <t>MC23113566</t>
  </si>
  <si>
    <t>050223113566</t>
  </si>
  <si>
    <t>NI LUH PUTU RISAWATI</t>
  </si>
  <si>
    <t>MC23113692</t>
  </si>
  <si>
    <t>050223113692</t>
  </si>
  <si>
    <t>I GEDE KARI I GEDE KARI</t>
  </si>
  <si>
    <t>MC23115153</t>
  </si>
  <si>
    <t>050223115153</t>
  </si>
  <si>
    <t>NI LUH MADE ARMINI NI LUH MADE ARMI</t>
  </si>
  <si>
    <t>MC23115471</t>
  </si>
  <si>
    <t>050223115471</t>
  </si>
  <si>
    <t>I DEWA GEDE BUDA ARSANA</t>
  </si>
  <si>
    <t>MC23117897</t>
  </si>
  <si>
    <t>050223117897</t>
  </si>
  <si>
    <t>ANAK AGUNG AYU LAKSMI CANDRA DEWI</t>
  </si>
  <si>
    <t>MC23118588</t>
  </si>
  <si>
    <t>050223118588</t>
  </si>
  <si>
    <t>KETUT KARDA KETUT KARDA</t>
  </si>
  <si>
    <t>MC24110858</t>
  </si>
  <si>
    <t>050224110858</t>
  </si>
  <si>
    <t>NI NYOMAN SUKESNI NI NYOMAN SUKESNI</t>
  </si>
  <si>
    <t>MD22212981</t>
  </si>
  <si>
    <t>050422212981</t>
  </si>
  <si>
    <t>I GEDE AGUS SUARTAWAN</t>
  </si>
  <si>
    <t>MD</t>
  </si>
  <si>
    <t>MD23115672</t>
  </si>
  <si>
    <t>050423115672</t>
  </si>
  <si>
    <t>LUH AENI EKAWATI LUH AENI EKAWATI</t>
  </si>
  <si>
    <t>MD24111430</t>
  </si>
  <si>
    <t>050424111430</t>
  </si>
  <si>
    <t>PUTU MASTIKA PUTU MASTIKA</t>
  </si>
  <si>
    <t>ME21111828</t>
  </si>
  <si>
    <t>050521111828</t>
  </si>
  <si>
    <t>I MADE SURASTAWA I MADE SURASTAWA</t>
  </si>
  <si>
    <t>ME</t>
  </si>
  <si>
    <t>ME21112545</t>
  </si>
  <si>
    <t>050521112545</t>
  </si>
  <si>
    <t>I KETUT DANDRA I KETUT DANDRA</t>
  </si>
  <si>
    <t>ME22110061</t>
  </si>
  <si>
    <t>050522110061</t>
  </si>
  <si>
    <t>I NYOMAN YASA I NYOMAN YASA</t>
  </si>
  <si>
    <t>ME22110325</t>
  </si>
  <si>
    <t>050522110325</t>
  </si>
  <si>
    <t>MAUDY RODDATUL JANNAH</t>
  </si>
  <si>
    <t>ME22112729</t>
  </si>
  <si>
    <t>050522112729</t>
  </si>
  <si>
    <t>NI KADEK SRIANJANI NI KADEK SRIANJA</t>
  </si>
  <si>
    <t>111301</t>
  </si>
  <si>
    <t>PENDAPATAN PK YANG DITANGGUHKAN</t>
  </si>
  <si>
    <t>111301_3105_04</t>
  </si>
  <si>
    <t>111301_3105_08</t>
  </si>
  <si>
    <t>PIC</t>
  </si>
  <si>
    <t>RONI</t>
  </si>
  <si>
    <t>SAPROL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</si>
</sst>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1" xfId="0" applyNumberFormat="1" applyBorder="1"/>
    <xf numFmtId="4" fontId="0" fillId="0" borderId="0" xfId="0" applyNumberFormat="1" applyAlignment="1">
      <alignment vertical="top"/>
    </xf>
    <xf numFmtId="1" fontId="0" fillId="2" borderId="1" xfId="0" applyNumberFormat="1" applyFill="1" applyBorder="1" applyAlignment="1">
      <alignment horizontal="left"/>
    </xf>
    <xf numFmtId="3" fontId="0" fillId="0" borderId="0" xfId="0" applyNumberFormat="1" applyAlignment="1">
      <alignment vertical="top"/>
    </xf>
    <xf numFmtId="1" fontId="0" fillId="2" borderId="1" xfId="0" applyNumberFormat="1" applyFill="1" applyBorder="1" applyAlignment="1">
      <alignment horizontal="center"/>
    </xf>
    <xf numFmtId="3" fontId="0" fillId="0" borderId="0" xfId="0" quotePrefix="1" applyNumberFormat="1" applyAlignment="1">
      <alignment vertical="top"/>
    </xf>
    <xf numFmtId="1" fontId="0" fillId="2" borderId="1" xfId="0" applyNumberFormat="1" applyFill="1" applyBorder="1"/>
    <xf numFmtId="14" fontId="0" fillId="0" borderId="0" xfId="0" applyNumberFormat="1" applyAlignment="1">
      <alignment vertical="top"/>
    </xf>
    <xf numFmtId="1" fontId="0" fillId="0" borderId="0" xfId="0" applyNumberFormat="1"/>
    <xf numFmtId="0" fontId="0" fillId="0" borderId="0" xfId="0" applyNumberFormat="1" applyAlignment="1">
      <alignment vertical="top"/>
    </xf>
    <xf numFmtId="0" fontId="2" fillId="3" borderId="0" xfId="0" applyNumberFormat="1" applyFont="1" applyFill="1" applyAlignment="1">
      <alignment vertical="top"/>
    </xf>
    <xf numFmtId="3" fontId="0" fillId="0" borderId="0" xfId="0" applyNumberFormat="1"/>
    <xf numFmtId="0" fontId="1" fillId="0" borderId="0" xfId="0" applyFont="1"/>
    <xf numFmtId="164" fontId="0" fillId="0" borderId="0" xfId="0" applyNumberFormat="1" applyAlignment="1">
      <alignment vertical="top"/>
    </xf>
    <xf numFmtId="0" fontId="2" fillId="3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2"/>
  <sheetViews>
    <sheetView workbookViewId="0">
      <pane ySplit="1" topLeftCell="A392" activePane="bottomLeft" state="frozen"/>
      <selection pane="bottomLeft" activeCell="F393" sqref="F393"/>
    </sheetView>
  </sheetViews>
  <sheetFormatPr defaultColWidth="9.1640625" defaultRowHeight="12" x14ac:dyDescent="0.2"/>
  <cols>
    <col min="1" max="1" width="3.6640625" customWidth="1"/>
    <col min="2" max="2" width="11.5" customWidth="1"/>
    <col min="3" max="3" width="18.83203125" bestFit="1" customWidth="1"/>
    <col min="4" max="4" width="17" customWidth="1"/>
    <col min="5" max="6" width="17.5" bestFit="1" customWidth="1"/>
    <col min="13" max="13" width="17.5" bestFit="1" customWidth="1"/>
    <col min="15" max="15" width="18.33203125" bestFit="1" customWidth="1"/>
  </cols>
  <sheetData>
    <row r="1" spans="1:4" s="13" customFormat="1" x14ac:dyDescent="0.2">
      <c r="A1" s="13" t="s">
        <v>0</v>
      </c>
      <c r="B1" s="13" t="s">
        <v>1</v>
      </c>
      <c r="C1" s="13" t="s">
        <v>2</v>
      </c>
      <c r="D1" s="13" t="s">
        <v>3</v>
      </c>
    </row>
    <row r="2" spans="1:4" x14ac:dyDescent="0.2">
      <c r="A2">
        <v>1</v>
      </c>
      <c r="B2" t="s">
        <v>4</v>
      </c>
      <c r="C2">
        <v>239421487638</v>
      </c>
      <c r="D2">
        <v>79547458396</v>
      </c>
    </row>
    <row r="3" spans="1:4" x14ac:dyDescent="0.2">
      <c r="A3">
        <v>2</v>
      </c>
      <c r="B3" t="s">
        <v>5</v>
      </c>
      <c r="C3">
        <v>664364310502</v>
      </c>
      <c r="D3">
        <v>160060340660</v>
      </c>
    </row>
    <row r="4" spans="1:4" x14ac:dyDescent="0.2">
      <c r="A4">
        <v>3</v>
      </c>
      <c r="B4" t="s">
        <v>6</v>
      </c>
      <c r="C4">
        <v>345885573258</v>
      </c>
      <c r="D4">
        <v>91994408847</v>
      </c>
    </row>
    <row r="5" spans="1:4" x14ac:dyDescent="0.2">
      <c r="A5">
        <v>4</v>
      </c>
      <c r="B5" t="s">
        <v>7</v>
      </c>
      <c r="C5">
        <v>341566388054</v>
      </c>
      <c r="D5">
        <v>116979549430</v>
      </c>
    </row>
    <row r="6" spans="1:4" x14ac:dyDescent="0.2">
      <c r="A6">
        <v>5</v>
      </c>
      <c r="B6" t="s">
        <v>8</v>
      </c>
      <c r="C6">
        <v>129127372554</v>
      </c>
      <c r="D6">
        <v>41607276523</v>
      </c>
    </row>
    <row r="7" spans="1:4" x14ac:dyDescent="0.2">
      <c r="A7">
        <v>6</v>
      </c>
      <c r="B7" t="s">
        <v>9</v>
      </c>
      <c r="C7">
        <v>390064163475</v>
      </c>
      <c r="D7">
        <v>134549875867</v>
      </c>
    </row>
    <row r="8" spans="1:4" x14ac:dyDescent="0.2">
      <c r="A8">
        <v>7</v>
      </c>
      <c r="B8" t="s">
        <v>10</v>
      </c>
      <c r="C8">
        <v>283989523162</v>
      </c>
      <c r="D8">
        <v>92928510219</v>
      </c>
    </row>
    <row r="9" spans="1:4" x14ac:dyDescent="0.2">
      <c r="A9">
        <v>8</v>
      </c>
      <c r="B9" t="s">
        <v>11</v>
      </c>
      <c r="C9">
        <v>519725571258</v>
      </c>
      <c r="D9">
        <v>173947658521</v>
      </c>
    </row>
    <row r="10" spans="1:4" x14ac:dyDescent="0.2">
      <c r="A10">
        <v>9</v>
      </c>
      <c r="B10" t="s">
        <v>12</v>
      </c>
      <c r="C10">
        <v>392924799870</v>
      </c>
      <c r="D10">
        <v>134262807898</v>
      </c>
    </row>
    <row r="11" spans="1:4" x14ac:dyDescent="0.2">
      <c r="A11">
        <v>10</v>
      </c>
      <c r="B11" t="s">
        <v>13</v>
      </c>
      <c r="C11">
        <v>374545976970</v>
      </c>
      <c r="D11">
        <v>126208520668</v>
      </c>
    </row>
    <row r="12" spans="1:4" x14ac:dyDescent="0.2">
      <c r="A12">
        <v>11</v>
      </c>
      <c r="B12" t="s">
        <v>14</v>
      </c>
      <c r="C12">
        <v>351090855897</v>
      </c>
      <c r="D12">
        <v>118181193988</v>
      </c>
    </row>
    <row r="13" spans="1:4" x14ac:dyDescent="0.2">
      <c r="A13">
        <v>12</v>
      </c>
      <c r="B13" t="s">
        <v>15</v>
      </c>
      <c r="C13">
        <v>188732346375</v>
      </c>
      <c r="D13">
        <v>60716675738</v>
      </c>
    </row>
    <row r="14" spans="1:4" x14ac:dyDescent="0.2">
      <c r="A14">
        <v>13</v>
      </c>
      <c r="B14" t="s">
        <v>16</v>
      </c>
      <c r="C14">
        <v>217544922953</v>
      </c>
      <c r="D14">
        <v>73801521955</v>
      </c>
    </row>
    <row r="15" spans="1:4" x14ac:dyDescent="0.2">
      <c r="A15">
        <v>14</v>
      </c>
      <c r="B15" t="s">
        <v>17</v>
      </c>
      <c r="C15">
        <v>209359134719</v>
      </c>
      <c r="D15">
        <v>72175924569</v>
      </c>
    </row>
    <row r="16" spans="1:4" x14ac:dyDescent="0.2">
      <c r="A16">
        <v>15</v>
      </c>
      <c r="B16" t="s">
        <v>18</v>
      </c>
      <c r="C16">
        <v>491326976792</v>
      </c>
      <c r="D16">
        <v>147053306799</v>
      </c>
    </row>
    <row r="17" spans="1:4" x14ac:dyDescent="0.2">
      <c r="A17">
        <v>16</v>
      </c>
      <c r="B17" t="s">
        <v>19</v>
      </c>
      <c r="C17">
        <v>593517739250</v>
      </c>
      <c r="D17">
        <v>178109518229</v>
      </c>
    </row>
    <row r="18" spans="1:4" x14ac:dyDescent="0.2">
      <c r="A18">
        <v>17</v>
      </c>
      <c r="B18" t="s">
        <v>20</v>
      </c>
      <c r="C18">
        <v>174501921795</v>
      </c>
      <c r="D18">
        <v>56649678014</v>
      </c>
    </row>
    <row r="19" spans="1:4" x14ac:dyDescent="0.2">
      <c r="A19">
        <v>18</v>
      </c>
      <c r="B19" t="s">
        <v>21</v>
      </c>
      <c r="C19">
        <v>190732121547</v>
      </c>
      <c r="D19">
        <v>62741034490</v>
      </c>
    </row>
    <row r="20" spans="1:4" x14ac:dyDescent="0.2">
      <c r="A20">
        <v>19</v>
      </c>
      <c r="B20" t="s">
        <v>22</v>
      </c>
      <c r="C20">
        <v>208045554527</v>
      </c>
      <c r="D20">
        <v>71809950982</v>
      </c>
    </row>
    <row r="21" spans="1:4" x14ac:dyDescent="0.2">
      <c r="A21">
        <v>20</v>
      </c>
      <c r="B21" t="s">
        <v>23</v>
      </c>
      <c r="C21">
        <v>272106713620</v>
      </c>
      <c r="D21">
        <v>87271310301</v>
      </c>
    </row>
    <row r="22" spans="1:4" x14ac:dyDescent="0.2">
      <c r="A22">
        <v>21</v>
      </c>
      <c r="B22" t="s">
        <v>24</v>
      </c>
      <c r="C22">
        <v>160000930164</v>
      </c>
      <c r="D22">
        <v>56646072081</v>
      </c>
    </row>
    <row r="23" spans="1:4" x14ac:dyDescent="0.2">
      <c r="A23">
        <v>22</v>
      </c>
      <c r="B23" t="s">
        <v>25</v>
      </c>
      <c r="C23">
        <v>191945058573</v>
      </c>
      <c r="D23">
        <v>62230205913</v>
      </c>
    </row>
    <row r="24" spans="1:4" x14ac:dyDescent="0.2">
      <c r="A24">
        <v>23</v>
      </c>
      <c r="B24" t="s">
        <v>26</v>
      </c>
      <c r="C24">
        <v>631158020772</v>
      </c>
      <c r="D24">
        <v>189359327457</v>
      </c>
    </row>
    <row r="25" spans="1:4" x14ac:dyDescent="0.2">
      <c r="A25">
        <v>24</v>
      </c>
      <c r="B25" t="s">
        <v>27</v>
      </c>
      <c r="C25">
        <v>209897412631</v>
      </c>
      <c r="D25">
        <v>72564637871</v>
      </c>
    </row>
    <row r="26" spans="1:4" x14ac:dyDescent="0.2">
      <c r="A26">
        <v>25</v>
      </c>
      <c r="B26" t="s">
        <v>28</v>
      </c>
      <c r="C26">
        <v>984654675516</v>
      </c>
      <c r="D26">
        <v>243575065275</v>
      </c>
    </row>
    <row r="27" spans="1:4" x14ac:dyDescent="0.2">
      <c r="A27">
        <v>26</v>
      </c>
      <c r="B27" t="s">
        <v>29</v>
      </c>
      <c r="C27">
        <v>377021995477</v>
      </c>
      <c r="D27">
        <v>127119002293</v>
      </c>
    </row>
    <row r="28" spans="1:4" x14ac:dyDescent="0.2">
      <c r="A28">
        <v>27</v>
      </c>
      <c r="B28" t="s">
        <v>30</v>
      </c>
      <c r="C28">
        <v>217875703420</v>
      </c>
      <c r="D28">
        <v>74357802805</v>
      </c>
    </row>
    <row r="29" spans="1:4" x14ac:dyDescent="0.2">
      <c r="A29">
        <v>28</v>
      </c>
      <c r="B29" t="s">
        <v>31</v>
      </c>
      <c r="C29">
        <v>880389185494</v>
      </c>
      <c r="D29">
        <v>268615288975</v>
      </c>
    </row>
    <row r="30" spans="1:4" x14ac:dyDescent="0.2">
      <c r="A30">
        <v>29</v>
      </c>
      <c r="B30" t="s">
        <v>32</v>
      </c>
      <c r="C30">
        <v>725260308519</v>
      </c>
      <c r="D30">
        <v>184121490822</v>
      </c>
    </row>
    <row r="31" spans="1:4" x14ac:dyDescent="0.2">
      <c r="A31">
        <v>30</v>
      </c>
      <c r="B31" t="s">
        <v>33</v>
      </c>
      <c r="C31">
        <v>1128913681787</v>
      </c>
      <c r="D31">
        <v>353285745402</v>
      </c>
    </row>
    <row r="32" spans="1:4" x14ac:dyDescent="0.2">
      <c r="A32">
        <v>31</v>
      </c>
      <c r="B32" t="s">
        <v>34</v>
      </c>
      <c r="C32">
        <v>280560920931</v>
      </c>
      <c r="D32">
        <v>93995878647</v>
      </c>
    </row>
    <row r="33" spans="1:4" x14ac:dyDescent="0.2">
      <c r="A33">
        <v>32</v>
      </c>
      <c r="B33" t="s">
        <v>35</v>
      </c>
      <c r="C33">
        <v>185873070438</v>
      </c>
      <c r="D33">
        <v>65517090247</v>
      </c>
    </row>
    <row r="34" spans="1:4" x14ac:dyDescent="0.2">
      <c r="A34">
        <v>33</v>
      </c>
      <c r="B34" t="s">
        <v>36</v>
      </c>
      <c r="C34">
        <v>333104358078</v>
      </c>
      <c r="D34">
        <v>107634834743</v>
      </c>
    </row>
    <row r="35" spans="1:4" x14ac:dyDescent="0.2">
      <c r="A35">
        <v>34</v>
      </c>
      <c r="B35" t="s">
        <v>37</v>
      </c>
      <c r="C35">
        <v>338730101835</v>
      </c>
      <c r="D35">
        <v>94265922709</v>
      </c>
    </row>
    <row r="36" spans="1:4" x14ac:dyDescent="0.2">
      <c r="A36">
        <v>35</v>
      </c>
      <c r="B36" t="s">
        <v>38</v>
      </c>
      <c r="C36">
        <v>179290975996</v>
      </c>
      <c r="D36">
        <v>64690801796</v>
      </c>
    </row>
    <row r="37" spans="1:4" x14ac:dyDescent="0.2">
      <c r="A37">
        <v>36</v>
      </c>
      <c r="B37" t="s">
        <v>39</v>
      </c>
      <c r="C37">
        <v>153897186961</v>
      </c>
      <c r="D37">
        <v>50394192971</v>
      </c>
    </row>
    <row r="38" spans="1:4" x14ac:dyDescent="0.2">
      <c r="A38">
        <v>37</v>
      </c>
      <c r="B38" t="s">
        <v>40</v>
      </c>
      <c r="C38">
        <v>76383383663</v>
      </c>
      <c r="D38">
        <v>28442757093</v>
      </c>
    </row>
    <row r="39" spans="1:4" x14ac:dyDescent="0.2">
      <c r="A39">
        <v>38</v>
      </c>
      <c r="B39" t="s">
        <v>41</v>
      </c>
      <c r="C39">
        <v>89003306984</v>
      </c>
      <c r="D39">
        <v>33307997275</v>
      </c>
    </row>
    <row r="40" spans="1:4" x14ac:dyDescent="0.2">
      <c r="A40">
        <v>39</v>
      </c>
      <c r="B40" t="s">
        <v>42</v>
      </c>
      <c r="C40">
        <v>41698315665</v>
      </c>
      <c r="D40">
        <v>16737631445</v>
      </c>
    </row>
    <row r="41" spans="1:4" x14ac:dyDescent="0.2">
      <c r="A41">
        <v>40</v>
      </c>
      <c r="B41" t="s">
        <v>43</v>
      </c>
      <c r="C41">
        <v>42196495056</v>
      </c>
      <c r="D41">
        <v>17853971819</v>
      </c>
    </row>
    <row r="42" spans="1:4" x14ac:dyDescent="0.2">
      <c r="A42">
        <v>41</v>
      </c>
      <c r="B42" t="s">
        <v>44</v>
      </c>
      <c r="C42">
        <v>22353216292</v>
      </c>
      <c r="D42">
        <v>8053091460</v>
      </c>
    </row>
    <row r="43" spans="1:4" x14ac:dyDescent="0.2">
      <c r="A43">
        <v>42</v>
      </c>
      <c r="B43" t="s">
        <v>45</v>
      </c>
      <c r="C43">
        <v>193384457682</v>
      </c>
      <c r="D43">
        <v>64497506841</v>
      </c>
    </row>
    <row r="44" spans="1:4" x14ac:dyDescent="0.2">
      <c r="A44">
        <v>43</v>
      </c>
      <c r="B44" t="s">
        <v>46</v>
      </c>
      <c r="C44">
        <v>531249877766</v>
      </c>
      <c r="D44">
        <v>154087240713</v>
      </c>
    </row>
    <row r="45" spans="1:4" x14ac:dyDescent="0.2">
      <c r="A45">
        <v>44</v>
      </c>
      <c r="B45" t="s">
        <v>47</v>
      </c>
      <c r="C45">
        <v>142941229266</v>
      </c>
      <c r="D45">
        <v>47427458250</v>
      </c>
    </row>
    <row r="46" spans="1:4" x14ac:dyDescent="0.2">
      <c r="A46">
        <v>45</v>
      </c>
      <c r="B46" t="s">
        <v>48</v>
      </c>
      <c r="C46">
        <v>200327240678</v>
      </c>
      <c r="D46">
        <v>67927520652</v>
      </c>
    </row>
    <row r="47" spans="1:4" x14ac:dyDescent="0.2">
      <c r="A47">
        <v>46</v>
      </c>
      <c r="B47" t="s">
        <v>49</v>
      </c>
      <c r="C47">
        <v>152737041511</v>
      </c>
      <c r="D47">
        <v>57512986597</v>
      </c>
    </row>
    <row r="48" spans="1:4" x14ac:dyDescent="0.2">
      <c r="A48">
        <v>47</v>
      </c>
      <c r="B48" t="s">
        <v>50</v>
      </c>
      <c r="C48">
        <v>128338756112</v>
      </c>
      <c r="D48">
        <v>42235004191</v>
      </c>
    </row>
    <row r="49" spans="1:4" x14ac:dyDescent="0.2">
      <c r="A49">
        <v>48</v>
      </c>
      <c r="B49" t="s">
        <v>51</v>
      </c>
      <c r="C49">
        <v>144036692572</v>
      </c>
      <c r="D49">
        <v>51838102184</v>
      </c>
    </row>
    <row r="50" spans="1:4" x14ac:dyDescent="0.2">
      <c r="A50">
        <v>49</v>
      </c>
      <c r="B50" t="s">
        <v>52</v>
      </c>
      <c r="C50">
        <v>162594225268</v>
      </c>
      <c r="D50">
        <v>56771520442</v>
      </c>
    </row>
    <row r="51" spans="1:4" x14ac:dyDescent="0.2">
      <c r="A51">
        <v>50</v>
      </c>
      <c r="B51" t="s">
        <v>53</v>
      </c>
      <c r="C51">
        <v>506006089581</v>
      </c>
      <c r="D51">
        <v>164230754698</v>
      </c>
    </row>
    <row r="52" spans="1:4" x14ac:dyDescent="0.2">
      <c r="A52">
        <v>51</v>
      </c>
      <c r="B52" t="s">
        <v>54</v>
      </c>
      <c r="C52">
        <v>405498029748</v>
      </c>
      <c r="D52">
        <v>145461268372</v>
      </c>
    </row>
    <row r="53" spans="1:4" x14ac:dyDescent="0.2">
      <c r="A53">
        <v>52</v>
      </c>
      <c r="B53" t="s">
        <v>55</v>
      </c>
      <c r="C53">
        <v>540053642680</v>
      </c>
      <c r="D53">
        <v>174285981875</v>
      </c>
    </row>
    <row r="54" spans="1:4" x14ac:dyDescent="0.2">
      <c r="A54">
        <v>53</v>
      </c>
      <c r="B54" t="s">
        <v>56</v>
      </c>
      <c r="C54">
        <v>336210599655</v>
      </c>
      <c r="D54">
        <v>137926665868</v>
      </c>
    </row>
    <row r="55" spans="1:4" x14ac:dyDescent="0.2">
      <c r="A55">
        <v>54</v>
      </c>
      <c r="B55" t="s">
        <v>57</v>
      </c>
      <c r="C55">
        <v>171214219812</v>
      </c>
      <c r="D55">
        <v>57388671422</v>
      </c>
    </row>
    <row r="56" spans="1:4" x14ac:dyDescent="0.2">
      <c r="A56">
        <v>55</v>
      </c>
      <c r="B56" t="s">
        <v>58</v>
      </c>
      <c r="C56">
        <v>731653</v>
      </c>
      <c r="D56">
        <v>18343</v>
      </c>
    </row>
    <row r="57" spans="1:4" x14ac:dyDescent="0.2">
      <c r="A57">
        <v>56</v>
      </c>
      <c r="B57" t="s">
        <v>59</v>
      </c>
      <c r="C57">
        <v>140167466451</v>
      </c>
      <c r="D57">
        <v>48566077707</v>
      </c>
    </row>
    <row r="58" spans="1:4" x14ac:dyDescent="0.2">
      <c r="A58">
        <v>57</v>
      </c>
      <c r="B58" t="s">
        <v>60</v>
      </c>
      <c r="C58">
        <v>132463871194</v>
      </c>
      <c r="D58">
        <v>44129717970</v>
      </c>
    </row>
    <row r="59" spans="1:4" x14ac:dyDescent="0.2">
      <c r="A59">
        <v>58</v>
      </c>
      <c r="B59" t="s">
        <v>61</v>
      </c>
      <c r="C59">
        <v>25991318</v>
      </c>
      <c r="D59">
        <v>2488044</v>
      </c>
    </row>
    <row r="60" spans="1:4" x14ac:dyDescent="0.2">
      <c r="A60">
        <v>59</v>
      </c>
      <c r="B60" t="s">
        <v>62</v>
      </c>
      <c r="C60">
        <v>301228457425</v>
      </c>
      <c r="D60">
        <v>101625324802</v>
      </c>
    </row>
    <row r="61" spans="1:4" x14ac:dyDescent="0.2">
      <c r="A61">
        <v>60</v>
      </c>
      <c r="B61" t="s">
        <v>63</v>
      </c>
      <c r="C61">
        <v>226731977276</v>
      </c>
      <c r="D61">
        <v>79899486640</v>
      </c>
    </row>
    <row r="62" spans="1:4" x14ac:dyDescent="0.2">
      <c r="A62">
        <v>61</v>
      </c>
      <c r="B62" t="s">
        <v>64</v>
      </c>
      <c r="C62">
        <v>148219260830</v>
      </c>
      <c r="D62">
        <v>49686538023</v>
      </c>
    </row>
    <row r="63" spans="1:4" x14ac:dyDescent="0.2">
      <c r="A63">
        <v>62</v>
      </c>
      <c r="B63" t="s">
        <v>65</v>
      </c>
      <c r="C63">
        <v>205704687258</v>
      </c>
      <c r="D63">
        <v>65729184877</v>
      </c>
    </row>
    <row r="64" spans="1:4" x14ac:dyDescent="0.2">
      <c r="A64">
        <v>63</v>
      </c>
      <c r="B64" t="s">
        <v>66</v>
      </c>
      <c r="C64">
        <v>284979093678</v>
      </c>
      <c r="D64">
        <v>92487894634</v>
      </c>
    </row>
    <row r="65" spans="1:4" x14ac:dyDescent="0.2">
      <c r="A65">
        <v>64</v>
      </c>
      <c r="B65" t="s">
        <v>67</v>
      </c>
      <c r="C65">
        <v>173751880470</v>
      </c>
      <c r="D65">
        <v>48899448668</v>
      </c>
    </row>
    <row r="66" spans="1:4" x14ac:dyDescent="0.2">
      <c r="A66">
        <v>65</v>
      </c>
      <c r="B66" t="s">
        <v>68</v>
      </c>
      <c r="C66">
        <v>94102496637</v>
      </c>
      <c r="D66">
        <v>31110925829</v>
      </c>
    </row>
    <row r="67" spans="1:4" x14ac:dyDescent="0.2">
      <c r="A67">
        <v>66</v>
      </c>
      <c r="B67" t="s">
        <v>69</v>
      </c>
      <c r="C67">
        <v>143813996942</v>
      </c>
      <c r="D67">
        <v>45212261865</v>
      </c>
    </row>
    <row r="68" spans="1:4" x14ac:dyDescent="0.2">
      <c r="A68">
        <v>67</v>
      </c>
      <c r="B68" t="s">
        <v>70</v>
      </c>
      <c r="C68">
        <v>384318034573</v>
      </c>
      <c r="D68">
        <v>137770109609</v>
      </c>
    </row>
    <row r="69" spans="1:4" x14ac:dyDescent="0.2">
      <c r="A69">
        <v>68</v>
      </c>
      <c r="B69" t="s">
        <v>71</v>
      </c>
      <c r="C69">
        <v>173002098802</v>
      </c>
      <c r="D69">
        <v>53237107591</v>
      </c>
    </row>
    <row r="70" spans="1:4" x14ac:dyDescent="0.2">
      <c r="A70">
        <v>69</v>
      </c>
      <c r="B70" t="s">
        <v>72</v>
      </c>
      <c r="C70">
        <v>253358967750</v>
      </c>
      <c r="D70">
        <v>72369794368</v>
      </c>
    </row>
    <row r="71" spans="1:4" x14ac:dyDescent="0.2">
      <c r="A71">
        <v>70</v>
      </c>
      <c r="B71" t="s">
        <v>73</v>
      </c>
      <c r="C71">
        <v>145741090243</v>
      </c>
      <c r="D71">
        <v>42291345870</v>
      </c>
    </row>
    <row r="72" spans="1:4" x14ac:dyDescent="0.2">
      <c r="A72">
        <v>71</v>
      </c>
      <c r="B72" t="s">
        <v>74</v>
      </c>
      <c r="C72">
        <v>160960236720</v>
      </c>
      <c r="D72">
        <v>56115214645</v>
      </c>
    </row>
    <row r="73" spans="1:4" x14ac:dyDescent="0.2">
      <c r="A73">
        <v>72</v>
      </c>
      <c r="B73" t="s">
        <v>75</v>
      </c>
      <c r="C73">
        <v>5398195906</v>
      </c>
      <c r="D73">
        <v>1719767646</v>
      </c>
    </row>
    <row r="74" spans="1:4" x14ac:dyDescent="0.2">
      <c r="A74">
        <v>73</v>
      </c>
      <c r="B74" t="s">
        <v>76</v>
      </c>
      <c r="C74">
        <v>188066800402</v>
      </c>
      <c r="D74">
        <v>59836590633</v>
      </c>
    </row>
    <row r="75" spans="1:4" x14ac:dyDescent="0.2">
      <c r="A75">
        <v>74</v>
      </c>
      <c r="B75" t="s">
        <v>77</v>
      </c>
      <c r="C75">
        <v>169347836917</v>
      </c>
      <c r="D75">
        <v>58441784679</v>
      </c>
    </row>
    <row r="76" spans="1:4" x14ac:dyDescent="0.2">
      <c r="A76">
        <v>75</v>
      </c>
      <c r="B76" t="s">
        <v>78</v>
      </c>
      <c r="C76">
        <v>150658071987</v>
      </c>
      <c r="D76">
        <v>53724375327</v>
      </c>
    </row>
    <row r="77" spans="1:4" x14ac:dyDescent="0.2">
      <c r="A77">
        <v>76</v>
      </c>
      <c r="B77" t="s">
        <v>79</v>
      </c>
      <c r="C77">
        <v>90002271010</v>
      </c>
      <c r="D77">
        <v>25687415250</v>
      </c>
    </row>
    <row r="78" spans="1:4" x14ac:dyDescent="0.2">
      <c r="A78">
        <v>77</v>
      </c>
      <c r="B78" t="s">
        <v>80</v>
      </c>
      <c r="C78">
        <v>126636463335</v>
      </c>
      <c r="D78">
        <v>39979850633</v>
      </c>
    </row>
    <row r="79" spans="1:4" x14ac:dyDescent="0.2">
      <c r="A79">
        <v>78</v>
      </c>
      <c r="B79" t="s">
        <v>81</v>
      </c>
      <c r="C79">
        <v>83020225265</v>
      </c>
      <c r="D79">
        <v>25892601092</v>
      </c>
    </row>
    <row r="80" spans="1:4" x14ac:dyDescent="0.2">
      <c r="A80">
        <v>79</v>
      </c>
      <c r="B80" t="s">
        <v>82</v>
      </c>
      <c r="C80">
        <v>52246495236</v>
      </c>
      <c r="D80">
        <v>15329412314</v>
      </c>
    </row>
    <row r="81" spans="1:4" x14ac:dyDescent="0.2">
      <c r="A81">
        <v>80</v>
      </c>
      <c r="B81" t="s">
        <v>83</v>
      </c>
      <c r="C81">
        <v>202371292182</v>
      </c>
      <c r="D81">
        <v>61110320265</v>
      </c>
    </row>
    <row r="82" spans="1:4" x14ac:dyDescent="0.2">
      <c r="A82">
        <v>81</v>
      </c>
      <c r="B82" t="s">
        <v>84</v>
      </c>
      <c r="C82">
        <v>68103401855</v>
      </c>
      <c r="D82">
        <v>19664057521</v>
      </c>
    </row>
    <row r="83" spans="1:4" x14ac:dyDescent="0.2">
      <c r="A83">
        <v>82</v>
      </c>
      <c r="B83" t="s">
        <v>85</v>
      </c>
      <c r="C83">
        <v>603958391255</v>
      </c>
      <c r="D83">
        <v>125818636302</v>
      </c>
    </row>
    <row r="84" spans="1:4" x14ac:dyDescent="0.2">
      <c r="A84">
        <v>83</v>
      </c>
      <c r="B84" t="s">
        <v>86</v>
      </c>
      <c r="C84">
        <v>238669424752</v>
      </c>
      <c r="D84">
        <v>72151996133</v>
      </c>
    </row>
    <row r="85" spans="1:4" x14ac:dyDescent="0.2">
      <c r="A85">
        <v>84</v>
      </c>
      <c r="B85" t="s">
        <v>87</v>
      </c>
      <c r="C85">
        <v>294483870801</v>
      </c>
      <c r="D85">
        <v>91099545734</v>
      </c>
    </row>
    <row r="86" spans="1:4" x14ac:dyDescent="0.2">
      <c r="A86">
        <v>85</v>
      </c>
      <c r="B86" t="s">
        <v>88</v>
      </c>
      <c r="C86">
        <v>105928316395</v>
      </c>
      <c r="D86">
        <v>34752042116</v>
      </c>
    </row>
    <row r="87" spans="1:4" x14ac:dyDescent="0.2">
      <c r="A87">
        <v>86</v>
      </c>
      <c r="B87" t="s">
        <v>89</v>
      </c>
      <c r="C87">
        <v>254158052125</v>
      </c>
      <c r="D87">
        <v>76384631880</v>
      </c>
    </row>
    <row r="88" spans="1:4" x14ac:dyDescent="0.2">
      <c r="A88">
        <v>87</v>
      </c>
      <c r="B88" t="s">
        <v>90</v>
      </c>
      <c r="C88">
        <v>95043323974</v>
      </c>
      <c r="D88">
        <v>29366926419</v>
      </c>
    </row>
    <row r="89" spans="1:4" x14ac:dyDescent="0.2">
      <c r="A89">
        <v>88</v>
      </c>
      <c r="B89" t="s">
        <v>91</v>
      </c>
      <c r="C89">
        <v>2040798432</v>
      </c>
      <c r="D89">
        <v>178006488</v>
      </c>
    </row>
    <row r="90" spans="1:4" x14ac:dyDescent="0.2">
      <c r="A90">
        <v>89</v>
      </c>
      <c r="B90" t="s">
        <v>92</v>
      </c>
      <c r="C90">
        <v>233467068714</v>
      </c>
      <c r="D90">
        <v>75639729553</v>
      </c>
    </row>
    <row r="91" spans="1:4" x14ac:dyDescent="0.2">
      <c r="A91">
        <v>90</v>
      </c>
      <c r="B91" t="s">
        <v>93</v>
      </c>
      <c r="C91">
        <v>296325984163</v>
      </c>
      <c r="D91">
        <v>88309210308</v>
      </c>
    </row>
    <row r="92" spans="1:4" x14ac:dyDescent="0.2">
      <c r="A92">
        <v>91</v>
      </c>
      <c r="B92" t="s">
        <v>94</v>
      </c>
      <c r="C92">
        <v>221380514615</v>
      </c>
      <c r="D92">
        <v>71051376233</v>
      </c>
    </row>
    <row r="93" spans="1:4" x14ac:dyDescent="0.2">
      <c r="A93">
        <v>92</v>
      </c>
      <c r="B93" t="s">
        <v>95</v>
      </c>
      <c r="C93">
        <v>144788245225</v>
      </c>
      <c r="D93">
        <v>48354648740</v>
      </c>
    </row>
    <row r="94" spans="1:4" x14ac:dyDescent="0.2">
      <c r="A94">
        <v>93</v>
      </c>
      <c r="B94" t="s">
        <v>96</v>
      </c>
      <c r="C94">
        <v>246757714200</v>
      </c>
      <c r="D94">
        <v>81811007713</v>
      </c>
    </row>
    <row r="95" spans="1:4" x14ac:dyDescent="0.2">
      <c r="A95">
        <v>94</v>
      </c>
      <c r="B95" t="s">
        <v>97</v>
      </c>
      <c r="C95">
        <v>371008117961</v>
      </c>
      <c r="D95">
        <v>125326994397</v>
      </c>
    </row>
    <row r="96" spans="1:4" x14ac:dyDescent="0.2">
      <c r="A96">
        <v>95</v>
      </c>
      <c r="B96" t="s">
        <v>98</v>
      </c>
      <c r="C96">
        <v>222929135413</v>
      </c>
      <c r="D96">
        <v>74981624345</v>
      </c>
    </row>
    <row r="97" spans="1:4" x14ac:dyDescent="0.2">
      <c r="A97">
        <v>96</v>
      </c>
      <c r="B97" t="s">
        <v>99</v>
      </c>
      <c r="C97">
        <v>323306052368</v>
      </c>
      <c r="D97">
        <v>109464947268</v>
      </c>
    </row>
    <row r="98" spans="1:4" x14ac:dyDescent="0.2">
      <c r="A98">
        <v>97</v>
      </c>
      <c r="B98" t="s">
        <v>100</v>
      </c>
      <c r="C98">
        <v>124897569300</v>
      </c>
      <c r="D98">
        <v>42590387802</v>
      </c>
    </row>
    <row r="99" spans="1:4" x14ac:dyDescent="0.2">
      <c r="A99">
        <v>98</v>
      </c>
      <c r="B99" t="s">
        <v>101</v>
      </c>
      <c r="C99">
        <v>173503462859</v>
      </c>
      <c r="D99">
        <v>60522556466</v>
      </c>
    </row>
    <row r="100" spans="1:4" x14ac:dyDescent="0.2">
      <c r="A100">
        <v>99</v>
      </c>
      <c r="B100" t="s">
        <v>102</v>
      </c>
      <c r="C100">
        <v>126510567472</v>
      </c>
      <c r="D100">
        <v>42322598217</v>
      </c>
    </row>
    <row r="101" spans="1:4" x14ac:dyDescent="0.2">
      <c r="A101">
        <v>100</v>
      </c>
      <c r="B101" t="s">
        <v>103</v>
      </c>
      <c r="C101">
        <v>145712083188</v>
      </c>
      <c r="D101">
        <v>50814472024</v>
      </c>
    </row>
    <row r="102" spans="1:4" x14ac:dyDescent="0.2">
      <c r="A102">
        <v>101</v>
      </c>
      <c r="B102" t="s">
        <v>104</v>
      </c>
      <c r="C102">
        <v>144049120237</v>
      </c>
      <c r="D102">
        <v>48164728334</v>
      </c>
    </row>
    <row r="103" spans="1:4" x14ac:dyDescent="0.2">
      <c r="A103">
        <v>102</v>
      </c>
      <c r="B103" t="s">
        <v>105</v>
      </c>
      <c r="C103">
        <v>419080225602</v>
      </c>
      <c r="D103">
        <v>101958933573</v>
      </c>
    </row>
    <row r="104" spans="1:4" x14ac:dyDescent="0.2">
      <c r="A104">
        <v>103</v>
      </c>
      <c r="B104" t="s">
        <v>106</v>
      </c>
      <c r="C104">
        <v>198226577152</v>
      </c>
      <c r="D104">
        <v>62197480122</v>
      </c>
    </row>
    <row r="105" spans="1:4" x14ac:dyDescent="0.2">
      <c r="A105">
        <v>104</v>
      </c>
      <c r="B105" t="s">
        <v>107</v>
      </c>
      <c r="C105">
        <v>1074577436</v>
      </c>
      <c r="D105">
        <v>64739720</v>
      </c>
    </row>
    <row r="106" spans="1:4" x14ac:dyDescent="0.2">
      <c r="A106">
        <v>105</v>
      </c>
      <c r="B106" t="s">
        <v>108</v>
      </c>
      <c r="C106">
        <v>153203024038</v>
      </c>
      <c r="D106">
        <v>53034599171</v>
      </c>
    </row>
    <row r="107" spans="1:4" x14ac:dyDescent="0.2">
      <c r="A107">
        <v>106</v>
      </c>
      <c r="B107" t="s">
        <v>109</v>
      </c>
      <c r="C107">
        <v>1265278222</v>
      </c>
      <c r="D107">
        <v>173723306</v>
      </c>
    </row>
    <row r="108" spans="1:4" x14ac:dyDescent="0.2">
      <c r="A108">
        <v>107</v>
      </c>
      <c r="B108" t="s">
        <v>110</v>
      </c>
      <c r="C108">
        <v>148466227002</v>
      </c>
      <c r="D108">
        <v>48800890768</v>
      </c>
    </row>
    <row r="109" spans="1:4" x14ac:dyDescent="0.2">
      <c r="A109">
        <v>108</v>
      </c>
      <c r="B109" t="s">
        <v>111</v>
      </c>
      <c r="C109">
        <v>141149304412</v>
      </c>
      <c r="D109">
        <v>46657160194</v>
      </c>
    </row>
    <row r="110" spans="1:4" x14ac:dyDescent="0.2">
      <c r="A110">
        <v>109</v>
      </c>
      <c r="B110" t="s">
        <v>112</v>
      </c>
      <c r="C110">
        <v>126707611665</v>
      </c>
      <c r="D110">
        <v>42981210543</v>
      </c>
    </row>
    <row r="111" spans="1:4" x14ac:dyDescent="0.2">
      <c r="A111">
        <v>110</v>
      </c>
      <c r="B111" t="s">
        <v>113</v>
      </c>
      <c r="C111">
        <v>448462573454</v>
      </c>
      <c r="D111">
        <v>189739617771</v>
      </c>
    </row>
    <row r="112" spans="1:4" x14ac:dyDescent="0.2">
      <c r="A112">
        <v>111</v>
      </c>
      <c r="B112" t="s">
        <v>114</v>
      </c>
      <c r="C112">
        <v>221932543809</v>
      </c>
      <c r="D112">
        <v>87827404930</v>
      </c>
    </row>
    <row r="113" spans="1:4" x14ac:dyDescent="0.2">
      <c r="A113">
        <v>112</v>
      </c>
      <c r="B113" t="s">
        <v>115</v>
      </c>
      <c r="C113">
        <v>228388877387</v>
      </c>
      <c r="D113">
        <v>110148553334</v>
      </c>
    </row>
    <row r="114" spans="1:4" x14ac:dyDescent="0.2">
      <c r="A114">
        <v>113</v>
      </c>
      <c r="B114" t="s">
        <v>116</v>
      </c>
      <c r="C114">
        <v>172203029216</v>
      </c>
      <c r="D114">
        <v>79480538635</v>
      </c>
    </row>
    <row r="115" spans="1:4" x14ac:dyDescent="0.2">
      <c r="A115">
        <v>114</v>
      </c>
      <c r="B115" t="s">
        <v>117</v>
      </c>
      <c r="C115">
        <v>311692286811</v>
      </c>
      <c r="D115">
        <v>103052988259</v>
      </c>
    </row>
    <row r="116" spans="1:4" x14ac:dyDescent="0.2">
      <c r="A116">
        <v>115</v>
      </c>
      <c r="B116" t="s">
        <v>118</v>
      </c>
      <c r="C116">
        <v>750379929011</v>
      </c>
      <c r="D116">
        <v>280948252827</v>
      </c>
    </row>
    <row r="117" spans="1:4" x14ac:dyDescent="0.2">
      <c r="A117">
        <v>116</v>
      </c>
      <c r="B117" t="s">
        <v>119</v>
      </c>
      <c r="C117">
        <v>316943727510</v>
      </c>
      <c r="D117">
        <v>113438393710</v>
      </c>
    </row>
    <row r="118" spans="1:4" x14ac:dyDescent="0.2">
      <c r="A118">
        <v>117</v>
      </c>
      <c r="B118" t="s">
        <v>120</v>
      </c>
      <c r="C118">
        <v>154441161240</v>
      </c>
      <c r="D118">
        <v>60551598899</v>
      </c>
    </row>
    <row r="119" spans="1:4" x14ac:dyDescent="0.2">
      <c r="A119">
        <v>118</v>
      </c>
      <c r="B119" t="s">
        <v>121</v>
      </c>
      <c r="C119">
        <v>179531892576</v>
      </c>
      <c r="D119">
        <v>67250237514</v>
      </c>
    </row>
    <row r="120" spans="1:4" x14ac:dyDescent="0.2">
      <c r="A120">
        <v>119</v>
      </c>
      <c r="B120" t="s">
        <v>122</v>
      </c>
      <c r="C120">
        <v>103306740150</v>
      </c>
      <c r="D120">
        <v>34801849284</v>
      </c>
    </row>
    <row r="121" spans="1:4" x14ac:dyDescent="0.2">
      <c r="A121">
        <v>120</v>
      </c>
      <c r="B121" t="s">
        <v>123</v>
      </c>
      <c r="C121">
        <v>58695115280</v>
      </c>
      <c r="D121">
        <v>24683867230</v>
      </c>
    </row>
    <row r="122" spans="1:4" x14ac:dyDescent="0.2">
      <c r="A122">
        <v>121</v>
      </c>
      <c r="B122" t="s">
        <v>124</v>
      </c>
      <c r="C122">
        <v>41949018000</v>
      </c>
      <c r="D122">
        <v>18381907210</v>
      </c>
    </row>
    <row r="123" spans="1:4" x14ac:dyDescent="0.2">
      <c r="A123">
        <v>122</v>
      </c>
      <c r="B123" t="s">
        <v>125</v>
      </c>
      <c r="C123">
        <v>284437397462</v>
      </c>
      <c r="D123">
        <v>104496719270</v>
      </c>
    </row>
    <row r="124" spans="1:4" x14ac:dyDescent="0.2">
      <c r="A124">
        <v>123</v>
      </c>
      <c r="B124" t="s">
        <v>126</v>
      </c>
      <c r="C124">
        <v>258528393822</v>
      </c>
      <c r="D124">
        <v>91216483664</v>
      </c>
    </row>
    <row r="125" spans="1:4" x14ac:dyDescent="0.2">
      <c r="A125">
        <v>124</v>
      </c>
      <c r="B125" t="s">
        <v>127</v>
      </c>
      <c r="C125">
        <v>247737187476</v>
      </c>
      <c r="D125">
        <v>90440220620</v>
      </c>
    </row>
    <row r="126" spans="1:4" x14ac:dyDescent="0.2">
      <c r="A126">
        <v>125</v>
      </c>
      <c r="B126" t="s">
        <v>128</v>
      </c>
      <c r="C126">
        <v>110212638413</v>
      </c>
      <c r="D126">
        <v>39045775213</v>
      </c>
    </row>
    <row r="127" spans="1:4" x14ac:dyDescent="0.2">
      <c r="A127">
        <v>126</v>
      </c>
      <c r="B127" t="s">
        <v>129</v>
      </c>
      <c r="C127">
        <v>263934924740</v>
      </c>
      <c r="D127">
        <v>92576687970</v>
      </c>
    </row>
    <row r="128" spans="1:4" x14ac:dyDescent="0.2">
      <c r="A128">
        <v>127</v>
      </c>
      <c r="B128" t="s">
        <v>130</v>
      </c>
      <c r="C128">
        <v>277475818645</v>
      </c>
      <c r="D128">
        <v>87885804432</v>
      </c>
    </row>
    <row r="129" spans="1:4" x14ac:dyDescent="0.2">
      <c r="A129">
        <v>128</v>
      </c>
      <c r="B129" t="s">
        <v>131</v>
      </c>
      <c r="C129">
        <v>280609064543</v>
      </c>
      <c r="D129">
        <v>92129695353</v>
      </c>
    </row>
    <row r="130" spans="1:4" x14ac:dyDescent="0.2">
      <c r="A130">
        <v>129</v>
      </c>
      <c r="B130" t="s">
        <v>132</v>
      </c>
      <c r="C130">
        <v>146518413</v>
      </c>
      <c r="D130">
        <v>16771404</v>
      </c>
    </row>
    <row r="131" spans="1:4" x14ac:dyDescent="0.2">
      <c r="A131">
        <v>130</v>
      </c>
      <c r="B131" t="s">
        <v>133</v>
      </c>
      <c r="C131">
        <v>410185445125</v>
      </c>
      <c r="D131">
        <v>136899623042</v>
      </c>
    </row>
    <row r="132" spans="1:4" x14ac:dyDescent="0.2">
      <c r="A132">
        <v>131</v>
      </c>
      <c r="B132" t="s">
        <v>134</v>
      </c>
      <c r="C132">
        <v>506343883662</v>
      </c>
      <c r="D132">
        <v>182698415180</v>
      </c>
    </row>
    <row r="133" spans="1:4" x14ac:dyDescent="0.2">
      <c r="A133">
        <v>132</v>
      </c>
      <c r="B133" t="s">
        <v>135</v>
      </c>
      <c r="C133">
        <v>163164046212</v>
      </c>
      <c r="D133">
        <v>56249084773</v>
      </c>
    </row>
    <row r="134" spans="1:4" x14ac:dyDescent="0.2">
      <c r="A134">
        <v>133</v>
      </c>
      <c r="B134" t="s">
        <v>136</v>
      </c>
      <c r="C134">
        <v>176584809231</v>
      </c>
      <c r="D134">
        <v>63110983136</v>
      </c>
    </row>
    <row r="135" spans="1:4" x14ac:dyDescent="0.2">
      <c r="A135">
        <v>134</v>
      </c>
      <c r="B135" t="s">
        <v>137</v>
      </c>
      <c r="C135">
        <v>282394255355</v>
      </c>
      <c r="D135">
        <v>96171300767</v>
      </c>
    </row>
    <row r="136" spans="1:4" x14ac:dyDescent="0.2">
      <c r="A136">
        <v>135</v>
      </c>
      <c r="B136" t="s">
        <v>138</v>
      </c>
      <c r="C136">
        <v>208522137989</v>
      </c>
      <c r="D136">
        <v>73343834994</v>
      </c>
    </row>
    <row r="137" spans="1:4" x14ac:dyDescent="0.2">
      <c r="A137">
        <v>136</v>
      </c>
      <c r="B137" t="s">
        <v>139</v>
      </c>
      <c r="C137">
        <v>21505259609</v>
      </c>
      <c r="D137">
        <v>9272001493</v>
      </c>
    </row>
    <row r="138" spans="1:4" x14ac:dyDescent="0.2">
      <c r="A138">
        <v>137</v>
      </c>
      <c r="B138" t="s">
        <v>140</v>
      </c>
      <c r="C138">
        <v>312853815533</v>
      </c>
      <c r="D138">
        <v>97074668222</v>
      </c>
    </row>
    <row r="139" spans="1:4" x14ac:dyDescent="0.2">
      <c r="A139">
        <v>138</v>
      </c>
      <c r="B139" t="s">
        <v>141</v>
      </c>
      <c r="C139">
        <v>34755959982</v>
      </c>
      <c r="D139">
        <v>12890660477</v>
      </c>
    </row>
    <row r="140" spans="1:4" x14ac:dyDescent="0.2">
      <c r="A140">
        <v>139</v>
      </c>
      <c r="B140" t="s">
        <v>142</v>
      </c>
      <c r="C140">
        <v>97260025033</v>
      </c>
      <c r="D140">
        <v>39823906268</v>
      </c>
    </row>
    <row r="141" spans="1:4" x14ac:dyDescent="0.2">
      <c r="A141">
        <v>140</v>
      </c>
      <c r="B141" t="s">
        <v>143</v>
      </c>
      <c r="C141">
        <v>545693167749</v>
      </c>
      <c r="D141">
        <v>159494894125</v>
      </c>
    </row>
    <row r="142" spans="1:4" x14ac:dyDescent="0.2">
      <c r="A142">
        <v>141</v>
      </c>
      <c r="B142" t="s">
        <v>144</v>
      </c>
      <c r="C142">
        <v>264784346292</v>
      </c>
      <c r="D142">
        <v>88717351471</v>
      </c>
    </row>
    <row r="143" spans="1:4" x14ac:dyDescent="0.2">
      <c r="A143">
        <v>142</v>
      </c>
      <c r="B143" t="s">
        <v>145</v>
      </c>
      <c r="C143">
        <v>4646648032</v>
      </c>
      <c r="D143">
        <v>516097558</v>
      </c>
    </row>
    <row r="144" spans="1:4" x14ac:dyDescent="0.2">
      <c r="A144">
        <v>143</v>
      </c>
      <c r="B144" t="s">
        <v>146</v>
      </c>
      <c r="C144">
        <v>135817070506</v>
      </c>
      <c r="D144">
        <v>48877089067</v>
      </c>
    </row>
    <row r="145" spans="1:4" x14ac:dyDescent="0.2">
      <c r="A145">
        <v>144</v>
      </c>
      <c r="B145" t="s">
        <v>147</v>
      </c>
      <c r="C145">
        <v>156915333792</v>
      </c>
      <c r="D145">
        <v>47944733542</v>
      </c>
    </row>
    <row r="146" spans="1:4" x14ac:dyDescent="0.2">
      <c r="A146">
        <v>145</v>
      </c>
      <c r="B146" t="s">
        <v>148</v>
      </c>
      <c r="C146">
        <v>144761948979</v>
      </c>
      <c r="D146">
        <v>45763487201</v>
      </c>
    </row>
    <row r="147" spans="1:4" x14ac:dyDescent="0.2">
      <c r="A147">
        <v>146</v>
      </c>
      <c r="B147" t="s">
        <v>149</v>
      </c>
      <c r="C147">
        <v>337938382769</v>
      </c>
      <c r="D147">
        <v>107809059674</v>
      </c>
    </row>
    <row r="148" spans="1:4" x14ac:dyDescent="0.2">
      <c r="A148">
        <v>147</v>
      </c>
      <c r="B148" t="s">
        <v>150</v>
      </c>
      <c r="C148">
        <v>416495582322</v>
      </c>
      <c r="D148">
        <v>122569457166</v>
      </c>
    </row>
    <row r="149" spans="1:4" x14ac:dyDescent="0.2">
      <c r="A149">
        <v>148</v>
      </c>
      <c r="B149" t="s">
        <v>151</v>
      </c>
      <c r="C149">
        <v>287721535941</v>
      </c>
      <c r="D149">
        <v>86497687672</v>
      </c>
    </row>
    <row r="150" spans="1:4" x14ac:dyDescent="0.2">
      <c r="A150">
        <v>149</v>
      </c>
      <c r="B150" t="s">
        <v>152</v>
      </c>
      <c r="C150">
        <v>934685478050</v>
      </c>
      <c r="D150">
        <v>281378474510</v>
      </c>
    </row>
    <row r="151" spans="1:4" x14ac:dyDescent="0.2">
      <c r="A151">
        <v>150</v>
      </c>
      <c r="B151" t="s">
        <v>153</v>
      </c>
      <c r="C151">
        <v>482492371565</v>
      </c>
      <c r="D151">
        <v>167602950102</v>
      </c>
    </row>
    <row r="152" spans="1:4" x14ac:dyDescent="0.2">
      <c r="A152">
        <v>151</v>
      </c>
      <c r="B152" t="s">
        <v>154</v>
      </c>
      <c r="C152">
        <v>4079377439</v>
      </c>
      <c r="D152">
        <v>1985166676</v>
      </c>
    </row>
    <row r="153" spans="1:4" x14ac:dyDescent="0.2">
      <c r="A153">
        <v>152</v>
      </c>
      <c r="B153" t="s">
        <v>155</v>
      </c>
      <c r="C153">
        <v>370263456356</v>
      </c>
      <c r="D153">
        <v>133984907348</v>
      </c>
    </row>
    <row r="154" spans="1:4" x14ac:dyDescent="0.2">
      <c r="A154">
        <v>153</v>
      </c>
      <c r="B154" t="s">
        <v>156</v>
      </c>
      <c r="C154">
        <v>58956095704</v>
      </c>
      <c r="D154">
        <v>22378533746</v>
      </c>
    </row>
    <row r="155" spans="1:4" x14ac:dyDescent="0.2">
      <c r="A155">
        <v>154</v>
      </c>
      <c r="B155" t="s">
        <v>157</v>
      </c>
      <c r="C155">
        <v>448261564313</v>
      </c>
      <c r="D155">
        <v>127657017872</v>
      </c>
    </row>
    <row r="156" spans="1:4" x14ac:dyDescent="0.2">
      <c r="A156">
        <v>155</v>
      </c>
      <c r="B156" t="s">
        <v>158</v>
      </c>
      <c r="C156">
        <v>408036889113</v>
      </c>
      <c r="D156">
        <v>134845259063</v>
      </c>
    </row>
    <row r="157" spans="1:4" x14ac:dyDescent="0.2">
      <c r="A157">
        <v>156</v>
      </c>
      <c r="B157" t="s">
        <v>159</v>
      </c>
      <c r="C157">
        <v>1334122551914</v>
      </c>
      <c r="D157">
        <v>436860277086</v>
      </c>
    </row>
    <row r="158" spans="1:4" x14ac:dyDescent="0.2">
      <c r="A158">
        <v>157</v>
      </c>
      <c r="B158" t="s">
        <v>160</v>
      </c>
      <c r="C158">
        <v>421135168437</v>
      </c>
      <c r="D158">
        <v>111771280453</v>
      </c>
    </row>
    <row r="159" spans="1:4" x14ac:dyDescent="0.2">
      <c r="A159">
        <v>158</v>
      </c>
      <c r="B159" t="s">
        <v>161</v>
      </c>
      <c r="C159">
        <v>380247141572</v>
      </c>
      <c r="D159">
        <v>145274916550</v>
      </c>
    </row>
    <row r="160" spans="1:4" x14ac:dyDescent="0.2">
      <c r="A160">
        <v>159</v>
      </c>
      <c r="B160" t="s">
        <v>162</v>
      </c>
      <c r="C160">
        <v>482988993692</v>
      </c>
      <c r="D160">
        <v>140686973538</v>
      </c>
    </row>
    <row r="161" spans="1:4" x14ac:dyDescent="0.2">
      <c r="A161">
        <v>160</v>
      </c>
      <c r="B161" t="s">
        <v>163</v>
      </c>
      <c r="C161">
        <v>484297614696</v>
      </c>
      <c r="D161">
        <v>142926665745</v>
      </c>
    </row>
    <row r="162" spans="1:4" x14ac:dyDescent="0.2">
      <c r="A162">
        <v>161</v>
      </c>
      <c r="B162" t="s">
        <v>164</v>
      </c>
      <c r="C162">
        <v>168944477231</v>
      </c>
      <c r="D162">
        <v>58427689635</v>
      </c>
    </row>
    <row r="163" spans="1:4" x14ac:dyDescent="0.2">
      <c r="A163">
        <v>162</v>
      </c>
      <c r="B163" t="s">
        <v>165</v>
      </c>
      <c r="C163">
        <v>120626977</v>
      </c>
      <c r="D163">
        <v>11653982</v>
      </c>
    </row>
    <row r="164" spans="1:4" x14ac:dyDescent="0.2">
      <c r="A164">
        <v>163</v>
      </c>
      <c r="B164" t="s">
        <v>166</v>
      </c>
      <c r="C164">
        <v>632318674120</v>
      </c>
      <c r="D164">
        <v>192651886241</v>
      </c>
    </row>
    <row r="165" spans="1:4" x14ac:dyDescent="0.2">
      <c r="A165">
        <v>164</v>
      </c>
      <c r="B165" t="s">
        <v>167</v>
      </c>
      <c r="C165">
        <v>42343697583</v>
      </c>
      <c r="D165">
        <v>9626702884</v>
      </c>
    </row>
    <row r="166" spans="1:4" x14ac:dyDescent="0.2">
      <c r="A166">
        <v>165</v>
      </c>
      <c r="B166" t="s">
        <v>168</v>
      </c>
      <c r="C166">
        <v>894260990255</v>
      </c>
      <c r="D166">
        <v>248135074151</v>
      </c>
    </row>
    <row r="167" spans="1:4" x14ac:dyDescent="0.2">
      <c r="A167">
        <v>166</v>
      </c>
      <c r="B167" t="s">
        <v>169</v>
      </c>
      <c r="C167">
        <v>63638819312</v>
      </c>
      <c r="D167">
        <v>29754640398</v>
      </c>
    </row>
    <row r="168" spans="1:4" x14ac:dyDescent="0.2">
      <c r="A168">
        <v>167</v>
      </c>
      <c r="B168" t="s">
        <v>170</v>
      </c>
      <c r="C168">
        <v>527494332066</v>
      </c>
      <c r="D168">
        <v>163328788074</v>
      </c>
    </row>
    <row r="169" spans="1:4" x14ac:dyDescent="0.2">
      <c r="A169">
        <v>168</v>
      </c>
      <c r="B169" t="s">
        <v>171</v>
      </c>
      <c r="C169">
        <v>469875156970</v>
      </c>
      <c r="D169">
        <v>159720262121</v>
      </c>
    </row>
    <row r="170" spans="1:4" x14ac:dyDescent="0.2">
      <c r="A170">
        <v>169</v>
      </c>
      <c r="B170" t="s">
        <v>172</v>
      </c>
      <c r="C170">
        <v>190172707749</v>
      </c>
      <c r="D170">
        <v>65527401385</v>
      </c>
    </row>
    <row r="171" spans="1:4" x14ac:dyDescent="0.2">
      <c r="A171">
        <v>170</v>
      </c>
      <c r="B171" t="s">
        <v>173</v>
      </c>
      <c r="C171">
        <v>666525571216</v>
      </c>
      <c r="D171">
        <v>203103402033</v>
      </c>
    </row>
    <row r="172" spans="1:4" x14ac:dyDescent="0.2">
      <c r="A172">
        <v>171</v>
      </c>
      <c r="B172" t="s">
        <v>174</v>
      </c>
      <c r="C172">
        <v>274193511583</v>
      </c>
      <c r="D172">
        <v>88573624493</v>
      </c>
    </row>
    <row r="173" spans="1:4" x14ac:dyDescent="0.2">
      <c r="A173">
        <v>172</v>
      </c>
      <c r="B173" t="s">
        <v>175</v>
      </c>
      <c r="C173">
        <v>204377078756</v>
      </c>
      <c r="D173">
        <v>63678889746</v>
      </c>
    </row>
    <row r="174" spans="1:4" x14ac:dyDescent="0.2">
      <c r="A174">
        <v>173</v>
      </c>
      <c r="B174" t="s">
        <v>176</v>
      </c>
      <c r="C174">
        <v>30353004263</v>
      </c>
      <c r="D174">
        <v>6847836446</v>
      </c>
    </row>
    <row r="175" spans="1:4" x14ac:dyDescent="0.2">
      <c r="A175">
        <v>174</v>
      </c>
      <c r="B175" t="s">
        <v>177</v>
      </c>
      <c r="C175">
        <v>224551693420</v>
      </c>
      <c r="D175">
        <v>74718751461</v>
      </c>
    </row>
    <row r="176" spans="1:4" x14ac:dyDescent="0.2">
      <c r="A176">
        <v>175</v>
      </c>
      <c r="B176" t="s">
        <v>178</v>
      </c>
      <c r="C176">
        <v>212804331108</v>
      </c>
      <c r="D176">
        <v>55852726483</v>
      </c>
    </row>
    <row r="177" spans="1:4" x14ac:dyDescent="0.2">
      <c r="A177">
        <v>176</v>
      </c>
      <c r="B177" t="s">
        <v>179</v>
      </c>
      <c r="C177">
        <v>451409438570</v>
      </c>
      <c r="D177">
        <v>157239842478</v>
      </c>
    </row>
    <row r="178" spans="1:4" x14ac:dyDescent="0.2">
      <c r="A178">
        <v>177</v>
      </c>
      <c r="B178" t="s">
        <v>180</v>
      </c>
      <c r="C178">
        <v>342627362419</v>
      </c>
      <c r="D178">
        <v>122193242052</v>
      </c>
    </row>
    <row r="179" spans="1:4" x14ac:dyDescent="0.2">
      <c r="A179">
        <v>178</v>
      </c>
      <c r="B179" t="s">
        <v>181</v>
      </c>
      <c r="C179">
        <v>327166402544</v>
      </c>
      <c r="D179">
        <v>105128946108</v>
      </c>
    </row>
    <row r="180" spans="1:4" x14ac:dyDescent="0.2">
      <c r="A180">
        <v>179</v>
      </c>
      <c r="B180" t="s">
        <v>182</v>
      </c>
      <c r="C180">
        <v>210088509805</v>
      </c>
      <c r="D180">
        <v>73955429923</v>
      </c>
    </row>
    <row r="181" spans="1:4" x14ac:dyDescent="0.2">
      <c r="A181">
        <v>180</v>
      </c>
      <c r="B181" t="s">
        <v>183</v>
      </c>
      <c r="C181">
        <v>602748338252</v>
      </c>
      <c r="D181">
        <v>198617839569</v>
      </c>
    </row>
    <row r="182" spans="1:4" x14ac:dyDescent="0.2">
      <c r="A182">
        <v>181</v>
      </c>
      <c r="B182" t="s">
        <v>184</v>
      </c>
      <c r="C182">
        <v>22279187222</v>
      </c>
      <c r="D182">
        <v>8696351501</v>
      </c>
    </row>
    <row r="183" spans="1:4" x14ac:dyDescent="0.2">
      <c r="A183">
        <v>182</v>
      </c>
      <c r="B183" t="s">
        <v>185</v>
      </c>
      <c r="C183">
        <v>547531005062</v>
      </c>
      <c r="D183">
        <v>172792190047</v>
      </c>
    </row>
    <row r="184" spans="1:4" x14ac:dyDescent="0.2">
      <c r="A184">
        <v>183</v>
      </c>
      <c r="B184" t="s">
        <v>186</v>
      </c>
      <c r="C184">
        <v>455730515513</v>
      </c>
      <c r="D184">
        <v>138231314732</v>
      </c>
    </row>
    <row r="185" spans="1:4" x14ac:dyDescent="0.2">
      <c r="A185">
        <v>184</v>
      </c>
      <c r="B185" t="s">
        <v>187</v>
      </c>
      <c r="C185">
        <v>939519042142</v>
      </c>
      <c r="D185">
        <v>315577685037</v>
      </c>
    </row>
    <row r="186" spans="1:4" x14ac:dyDescent="0.2">
      <c r="A186">
        <v>185</v>
      </c>
      <c r="B186" t="s">
        <v>188</v>
      </c>
      <c r="C186">
        <v>294308063487</v>
      </c>
      <c r="D186">
        <v>104945349958</v>
      </c>
    </row>
    <row r="187" spans="1:4" x14ac:dyDescent="0.2">
      <c r="A187">
        <v>186</v>
      </c>
      <c r="B187" t="s">
        <v>189</v>
      </c>
      <c r="C187">
        <v>175247928296</v>
      </c>
      <c r="D187">
        <v>62061670436</v>
      </c>
    </row>
    <row r="188" spans="1:4" x14ac:dyDescent="0.2">
      <c r="A188">
        <v>187</v>
      </c>
      <c r="B188" t="s">
        <v>190</v>
      </c>
      <c r="C188">
        <v>207594795184</v>
      </c>
      <c r="D188">
        <v>70074430599</v>
      </c>
    </row>
    <row r="189" spans="1:4" x14ac:dyDescent="0.2">
      <c r="A189">
        <v>188</v>
      </c>
      <c r="B189" t="s">
        <v>191</v>
      </c>
      <c r="C189">
        <v>200548209432</v>
      </c>
      <c r="D189">
        <v>64662782347</v>
      </c>
    </row>
    <row r="190" spans="1:4" x14ac:dyDescent="0.2">
      <c r="A190">
        <v>189</v>
      </c>
      <c r="B190" t="s">
        <v>192</v>
      </c>
      <c r="C190">
        <v>171194534480</v>
      </c>
      <c r="D190">
        <v>53774134779</v>
      </c>
    </row>
    <row r="191" spans="1:4" x14ac:dyDescent="0.2">
      <c r="A191">
        <v>190</v>
      </c>
      <c r="B191" t="s">
        <v>193</v>
      </c>
      <c r="C191">
        <v>132977041181</v>
      </c>
      <c r="D191">
        <v>47490080491</v>
      </c>
    </row>
    <row r="192" spans="1:4" x14ac:dyDescent="0.2">
      <c r="A192">
        <v>191</v>
      </c>
      <c r="B192" t="s">
        <v>194</v>
      </c>
      <c r="C192">
        <v>359381342304</v>
      </c>
      <c r="D192">
        <v>131055978538</v>
      </c>
    </row>
    <row r="193" spans="1:4" x14ac:dyDescent="0.2">
      <c r="A193">
        <v>192</v>
      </c>
      <c r="B193" t="s">
        <v>195</v>
      </c>
      <c r="C193">
        <v>144784239268</v>
      </c>
      <c r="D193">
        <v>49496992331</v>
      </c>
    </row>
    <row r="194" spans="1:4" x14ac:dyDescent="0.2">
      <c r="A194">
        <v>193</v>
      </c>
      <c r="B194" t="s">
        <v>196</v>
      </c>
      <c r="C194">
        <v>372808317393</v>
      </c>
      <c r="D194">
        <v>125133182064</v>
      </c>
    </row>
    <row r="195" spans="1:4" x14ac:dyDescent="0.2">
      <c r="A195">
        <v>194</v>
      </c>
      <c r="B195" t="s">
        <v>197</v>
      </c>
      <c r="C195">
        <v>286851675192</v>
      </c>
      <c r="D195">
        <v>95589650224</v>
      </c>
    </row>
    <row r="196" spans="1:4" x14ac:dyDescent="0.2">
      <c r="A196">
        <v>195</v>
      </c>
      <c r="B196" t="s">
        <v>198</v>
      </c>
      <c r="C196">
        <v>198773546412</v>
      </c>
      <c r="D196">
        <v>58027744237</v>
      </c>
    </row>
    <row r="197" spans="1:4" x14ac:dyDescent="0.2">
      <c r="A197">
        <v>196</v>
      </c>
      <c r="B197" t="s">
        <v>199</v>
      </c>
      <c r="C197">
        <v>289761689599</v>
      </c>
      <c r="D197">
        <v>102062575267</v>
      </c>
    </row>
    <row r="198" spans="1:4" x14ac:dyDescent="0.2">
      <c r="A198">
        <v>197</v>
      </c>
      <c r="B198" t="s">
        <v>200</v>
      </c>
      <c r="C198">
        <v>179682572857</v>
      </c>
      <c r="D198">
        <v>69191021612</v>
      </c>
    </row>
    <row r="199" spans="1:4" x14ac:dyDescent="0.2">
      <c r="A199">
        <v>198</v>
      </c>
      <c r="B199" t="s">
        <v>201</v>
      </c>
      <c r="C199">
        <v>231200375907</v>
      </c>
      <c r="D199">
        <v>63158761811</v>
      </c>
    </row>
    <row r="200" spans="1:4" x14ac:dyDescent="0.2">
      <c r="A200">
        <v>199</v>
      </c>
      <c r="B200" t="s">
        <v>202</v>
      </c>
      <c r="C200">
        <v>236729971939</v>
      </c>
      <c r="D200">
        <v>85278273413</v>
      </c>
    </row>
    <row r="201" spans="1:4" x14ac:dyDescent="0.2">
      <c r="A201">
        <v>200</v>
      </c>
      <c r="B201" t="s">
        <v>203</v>
      </c>
      <c r="C201">
        <v>215612651567</v>
      </c>
      <c r="D201">
        <v>73289349867</v>
      </c>
    </row>
    <row r="202" spans="1:4" x14ac:dyDescent="0.2">
      <c r="A202">
        <v>201</v>
      </c>
      <c r="B202" t="s">
        <v>204</v>
      </c>
      <c r="C202">
        <v>167182691592</v>
      </c>
      <c r="D202">
        <v>57745139554</v>
      </c>
    </row>
    <row r="203" spans="1:4" x14ac:dyDescent="0.2">
      <c r="A203">
        <v>202</v>
      </c>
      <c r="B203" t="s">
        <v>205</v>
      </c>
      <c r="C203">
        <v>256358897089</v>
      </c>
      <c r="D203">
        <v>73907834684</v>
      </c>
    </row>
    <row r="204" spans="1:4" x14ac:dyDescent="0.2">
      <c r="A204">
        <v>203</v>
      </c>
      <c r="B204" t="s">
        <v>206</v>
      </c>
      <c r="C204">
        <v>858424310</v>
      </c>
      <c r="D204">
        <v>83393432</v>
      </c>
    </row>
    <row r="205" spans="1:4" x14ac:dyDescent="0.2">
      <c r="A205">
        <v>204</v>
      </c>
      <c r="B205" t="s">
        <v>207</v>
      </c>
      <c r="C205">
        <v>239200128744</v>
      </c>
      <c r="D205">
        <v>75938345890</v>
      </c>
    </row>
    <row r="206" spans="1:4" x14ac:dyDescent="0.2">
      <c r="A206">
        <v>205</v>
      </c>
      <c r="B206" t="s">
        <v>208</v>
      </c>
      <c r="C206">
        <v>1168453554734</v>
      </c>
      <c r="D206">
        <v>129759100122</v>
      </c>
    </row>
    <row r="207" spans="1:4" x14ac:dyDescent="0.2">
      <c r="A207">
        <v>206</v>
      </c>
      <c r="B207" t="s">
        <v>209</v>
      </c>
      <c r="C207">
        <v>29519219970</v>
      </c>
      <c r="D207">
        <v>7258830927</v>
      </c>
    </row>
    <row r="208" spans="1:4" x14ac:dyDescent="0.2">
      <c r="C208">
        <v>812288692</v>
      </c>
      <c r="D208">
        <v>339460690</v>
      </c>
    </row>
    <row r="209" spans="3:4" x14ac:dyDescent="0.2">
      <c r="C209">
        <v>4451321178</v>
      </c>
      <c r="D209">
        <v>1147059545</v>
      </c>
    </row>
    <row r="210" spans="3:4" x14ac:dyDescent="0.2">
      <c r="C210">
        <v>652452821</v>
      </c>
      <c r="D210">
        <v>255825960</v>
      </c>
    </row>
    <row r="211" spans="3:4" x14ac:dyDescent="0.2">
      <c r="C211">
        <v>825157222</v>
      </c>
      <c r="D211">
        <v>338324038</v>
      </c>
    </row>
    <row r="212" spans="3:4" x14ac:dyDescent="0.2">
      <c r="C212">
        <v>169564499</v>
      </c>
      <c r="D212">
        <v>64797838</v>
      </c>
    </row>
    <row r="213" spans="3:4" x14ac:dyDescent="0.2">
      <c r="C213">
        <v>542949231</v>
      </c>
      <c r="D213">
        <v>242017233</v>
      </c>
    </row>
    <row r="214" spans="3:4" x14ac:dyDescent="0.2">
      <c r="C214">
        <v>683236656</v>
      </c>
      <c r="D214">
        <v>271863153</v>
      </c>
    </row>
    <row r="215" spans="3:4" x14ac:dyDescent="0.2">
      <c r="C215">
        <v>1276777244</v>
      </c>
      <c r="D215">
        <v>517239155</v>
      </c>
    </row>
    <row r="216" spans="3:4" x14ac:dyDescent="0.2">
      <c r="C216">
        <v>511492194</v>
      </c>
      <c r="D216">
        <v>206281036</v>
      </c>
    </row>
    <row r="217" spans="3:4" x14ac:dyDescent="0.2">
      <c r="C217">
        <v>829733864</v>
      </c>
      <c r="D217">
        <v>328980372</v>
      </c>
    </row>
    <row r="218" spans="3:4" x14ac:dyDescent="0.2">
      <c r="C218">
        <v>899250693</v>
      </c>
      <c r="D218">
        <v>341972353</v>
      </c>
    </row>
    <row r="219" spans="3:4" x14ac:dyDescent="0.2">
      <c r="C219">
        <v>129468594</v>
      </c>
      <c r="D219">
        <v>59823377</v>
      </c>
    </row>
    <row r="220" spans="3:4" x14ac:dyDescent="0.2">
      <c r="C220">
        <v>719086013</v>
      </c>
      <c r="D220">
        <v>284901517</v>
      </c>
    </row>
    <row r="221" spans="3:4" x14ac:dyDescent="0.2">
      <c r="C221">
        <v>685843963</v>
      </c>
      <c r="D221">
        <v>277143387</v>
      </c>
    </row>
    <row r="222" spans="3:4" x14ac:dyDescent="0.2">
      <c r="C222">
        <v>2393960114</v>
      </c>
      <c r="D222">
        <v>924679969</v>
      </c>
    </row>
    <row r="223" spans="3:4" x14ac:dyDescent="0.2">
      <c r="C223">
        <v>2149414313</v>
      </c>
      <c r="D223">
        <v>847279619</v>
      </c>
    </row>
    <row r="224" spans="3:4" x14ac:dyDescent="0.2">
      <c r="C224">
        <v>109833452</v>
      </c>
      <c r="D224">
        <v>45129258</v>
      </c>
    </row>
    <row r="225" spans="3:4" x14ac:dyDescent="0.2">
      <c r="C225">
        <v>356305426</v>
      </c>
      <c r="D225">
        <v>132096290</v>
      </c>
    </row>
    <row r="226" spans="3:4" x14ac:dyDescent="0.2">
      <c r="C226">
        <v>551204211</v>
      </c>
      <c r="D226">
        <v>217867647</v>
      </c>
    </row>
    <row r="227" spans="3:4" x14ac:dyDescent="0.2">
      <c r="C227">
        <v>553928367</v>
      </c>
      <c r="D227">
        <v>224389512</v>
      </c>
    </row>
    <row r="228" spans="3:4" x14ac:dyDescent="0.2">
      <c r="C228">
        <v>317832956</v>
      </c>
      <c r="D228">
        <v>147948127</v>
      </c>
    </row>
    <row r="229" spans="3:4" x14ac:dyDescent="0.2">
      <c r="C229">
        <v>559768676</v>
      </c>
      <c r="D229">
        <v>220946170</v>
      </c>
    </row>
    <row r="230" spans="3:4" x14ac:dyDescent="0.2">
      <c r="C230">
        <v>2752825336</v>
      </c>
      <c r="D230">
        <v>977770516</v>
      </c>
    </row>
    <row r="231" spans="3:4" x14ac:dyDescent="0.2">
      <c r="C231">
        <v>408809131</v>
      </c>
      <c r="D231">
        <v>171564295</v>
      </c>
    </row>
    <row r="232" spans="3:4" x14ac:dyDescent="0.2">
      <c r="C232">
        <v>2398993952</v>
      </c>
      <c r="D232">
        <v>615149764</v>
      </c>
    </row>
    <row r="233" spans="3:4" x14ac:dyDescent="0.2">
      <c r="C233">
        <v>823858304</v>
      </c>
      <c r="D233">
        <v>305984913</v>
      </c>
    </row>
    <row r="234" spans="3:4" x14ac:dyDescent="0.2">
      <c r="C234">
        <v>112533408</v>
      </c>
      <c r="D234">
        <v>50237574</v>
      </c>
    </row>
    <row r="235" spans="3:4" x14ac:dyDescent="0.2">
      <c r="C235">
        <v>2890799816</v>
      </c>
      <c r="D235">
        <v>936097472</v>
      </c>
    </row>
    <row r="236" spans="3:4" x14ac:dyDescent="0.2">
      <c r="C236">
        <v>2403630928</v>
      </c>
      <c r="D236">
        <v>751200243</v>
      </c>
    </row>
    <row r="237" spans="3:4" x14ac:dyDescent="0.2">
      <c r="C237">
        <v>6415879691</v>
      </c>
      <c r="D237">
        <v>2154454377</v>
      </c>
    </row>
    <row r="238" spans="3:4" x14ac:dyDescent="0.2">
      <c r="C238">
        <v>512758593</v>
      </c>
      <c r="D238">
        <v>212964266</v>
      </c>
    </row>
    <row r="239" spans="3:4" x14ac:dyDescent="0.2">
      <c r="C239">
        <v>207621988</v>
      </c>
      <c r="D239">
        <v>99855095</v>
      </c>
    </row>
    <row r="240" spans="3:4" x14ac:dyDescent="0.2">
      <c r="C240">
        <v>1098159850</v>
      </c>
      <c r="D240">
        <v>419214187</v>
      </c>
    </row>
    <row r="241" spans="3:4" x14ac:dyDescent="0.2">
      <c r="C241">
        <v>2038916602</v>
      </c>
      <c r="D241">
        <v>818818206</v>
      </c>
    </row>
    <row r="242" spans="3:4" x14ac:dyDescent="0.2">
      <c r="C242">
        <v>375970090</v>
      </c>
      <c r="D242">
        <v>145253384</v>
      </c>
    </row>
    <row r="243" spans="3:4" x14ac:dyDescent="0.2">
      <c r="C243">
        <v>489132852</v>
      </c>
      <c r="D243">
        <v>222172406</v>
      </c>
    </row>
    <row r="244" spans="3:4" x14ac:dyDescent="0.2">
      <c r="C244">
        <v>386762939</v>
      </c>
      <c r="D244">
        <v>155875457</v>
      </c>
    </row>
    <row r="245" spans="3:4" x14ac:dyDescent="0.2">
      <c r="C245">
        <v>553192651</v>
      </c>
      <c r="D245">
        <v>248329214</v>
      </c>
    </row>
    <row r="246" spans="3:4" x14ac:dyDescent="0.2">
      <c r="C246">
        <v>233369477</v>
      </c>
      <c r="D246">
        <v>109178539</v>
      </c>
    </row>
    <row r="247" spans="3:4" x14ac:dyDescent="0.2">
      <c r="C247">
        <v>408582196</v>
      </c>
      <c r="D247">
        <v>158317283</v>
      </c>
    </row>
    <row r="248" spans="3:4" x14ac:dyDescent="0.2">
      <c r="C248">
        <v>2526978446</v>
      </c>
      <c r="D248">
        <v>927156492</v>
      </c>
    </row>
    <row r="249" spans="3:4" x14ac:dyDescent="0.2">
      <c r="C249">
        <v>151996685</v>
      </c>
      <c r="D249">
        <v>70435256</v>
      </c>
    </row>
    <row r="250" spans="3:4" x14ac:dyDescent="0.2">
      <c r="C250">
        <v>576670948</v>
      </c>
      <c r="D250">
        <v>276790927</v>
      </c>
    </row>
    <row r="251" spans="3:4" x14ac:dyDescent="0.2">
      <c r="C251">
        <v>437430396</v>
      </c>
      <c r="D251">
        <v>207897736</v>
      </c>
    </row>
    <row r="252" spans="3:4" x14ac:dyDescent="0.2">
      <c r="C252">
        <v>172933338</v>
      </c>
      <c r="D252">
        <v>65792731</v>
      </c>
    </row>
    <row r="253" spans="3:4" x14ac:dyDescent="0.2">
      <c r="C253">
        <v>168723866</v>
      </c>
      <c r="D253">
        <v>80701105</v>
      </c>
    </row>
    <row r="254" spans="3:4" x14ac:dyDescent="0.2">
      <c r="C254">
        <v>759426556</v>
      </c>
      <c r="D254">
        <v>314298803</v>
      </c>
    </row>
    <row r="255" spans="3:4" x14ac:dyDescent="0.2">
      <c r="C255">
        <v>750797075</v>
      </c>
      <c r="D255">
        <v>285080104</v>
      </c>
    </row>
    <row r="256" spans="3:4" x14ac:dyDescent="0.2">
      <c r="C256">
        <v>1408690776</v>
      </c>
      <c r="D256">
        <v>654031015</v>
      </c>
    </row>
    <row r="257" spans="3:4" x14ac:dyDescent="0.2">
      <c r="C257">
        <v>1460557976</v>
      </c>
      <c r="D257">
        <v>512965336</v>
      </c>
    </row>
    <row r="258" spans="3:4" x14ac:dyDescent="0.2">
      <c r="C258">
        <v>577136764</v>
      </c>
      <c r="D258">
        <v>286275019</v>
      </c>
    </row>
    <row r="259" spans="3:4" x14ac:dyDescent="0.2">
      <c r="C259">
        <v>992049845</v>
      </c>
      <c r="D259">
        <v>432267535</v>
      </c>
    </row>
    <row r="260" spans="3:4" x14ac:dyDescent="0.2">
      <c r="C260">
        <v>45759740</v>
      </c>
      <c r="D260">
        <v>22163254</v>
      </c>
    </row>
    <row r="261" spans="3:4" x14ac:dyDescent="0.2">
      <c r="C261">
        <v>246965892</v>
      </c>
      <c r="D261">
        <v>94989063</v>
      </c>
    </row>
    <row r="262" spans="3:4" x14ac:dyDescent="0.2">
      <c r="C262">
        <v>328923606</v>
      </c>
      <c r="D262">
        <v>144741592</v>
      </c>
    </row>
    <row r="263" spans="3:4" x14ac:dyDescent="0.2">
      <c r="C263">
        <v>435140332</v>
      </c>
      <c r="D263">
        <v>227323323</v>
      </c>
    </row>
    <row r="264" spans="3:4" x14ac:dyDescent="0.2">
      <c r="C264">
        <v>359661420</v>
      </c>
      <c r="D264">
        <v>135446480</v>
      </c>
    </row>
    <row r="265" spans="3:4" x14ac:dyDescent="0.2">
      <c r="C265">
        <v>199800332</v>
      </c>
      <c r="D265">
        <v>78917522</v>
      </c>
    </row>
    <row r="266" spans="3:4" x14ac:dyDescent="0.2">
      <c r="C266">
        <v>360744642</v>
      </c>
      <c r="D266">
        <v>134491692</v>
      </c>
    </row>
    <row r="267" spans="3:4" x14ac:dyDescent="0.2">
      <c r="C267">
        <v>305832798</v>
      </c>
      <c r="D267">
        <v>116085582</v>
      </c>
    </row>
    <row r="268" spans="3:4" x14ac:dyDescent="0.2">
      <c r="C268">
        <v>38205800</v>
      </c>
      <c r="D268">
        <v>9538091</v>
      </c>
    </row>
    <row r="269" spans="3:4" x14ac:dyDescent="0.2">
      <c r="C269">
        <v>363538443</v>
      </c>
      <c r="D269">
        <v>133757159</v>
      </c>
    </row>
    <row r="270" spans="3:4" x14ac:dyDescent="0.2">
      <c r="C270">
        <v>24270373</v>
      </c>
      <c r="D270">
        <v>10728960</v>
      </c>
    </row>
    <row r="271" spans="3:4" x14ac:dyDescent="0.2">
      <c r="C271">
        <v>298489377</v>
      </c>
      <c r="D271">
        <v>124692310</v>
      </c>
    </row>
    <row r="272" spans="3:4" x14ac:dyDescent="0.2">
      <c r="C272">
        <v>170195439</v>
      </c>
      <c r="D272">
        <v>69839389</v>
      </c>
    </row>
    <row r="273" spans="3:4" x14ac:dyDescent="0.2">
      <c r="C273">
        <v>157623266</v>
      </c>
      <c r="D273">
        <v>65463349</v>
      </c>
    </row>
    <row r="274" spans="3:4" x14ac:dyDescent="0.2">
      <c r="C274">
        <v>442640778</v>
      </c>
      <c r="D274">
        <v>178040584</v>
      </c>
    </row>
    <row r="275" spans="3:4" x14ac:dyDescent="0.2">
      <c r="C275">
        <v>12967931</v>
      </c>
      <c r="D275">
        <v>4509480</v>
      </c>
    </row>
    <row r="276" spans="3:4" x14ac:dyDescent="0.2">
      <c r="C276">
        <v>487380856</v>
      </c>
      <c r="D276">
        <v>192382782</v>
      </c>
    </row>
    <row r="277" spans="3:4" x14ac:dyDescent="0.2">
      <c r="C277">
        <v>148548791</v>
      </c>
      <c r="D277">
        <v>61792216</v>
      </c>
    </row>
    <row r="278" spans="3:4" x14ac:dyDescent="0.2">
      <c r="C278">
        <v>118867331</v>
      </c>
      <c r="D278">
        <v>49207523</v>
      </c>
    </row>
    <row r="279" spans="3:4" x14ac:dyDescent="0.2">
      <c r="C279">
        <v>188652669</v>
      </c>
      <c r="D279">
        <v>77974187</v>
      </c>
    </row>
    <row r="280" spans="3:4" x14ac:dyDescent="0.2">
      <c r="C280">
        <v>700413934</v>
      </c>
      <c r="D280">
        <v>242575294</v>
      </c>
    </row>
    <row r="281" spans="3:4" x14ac:dyDescent="0.2">
      <c r="C281">
        <v>7049767</v>
      </c>
      <c r="D281">
        <v>702331</v>
      </c>
    </row>
    <row r="282" spans="3:4" x14ac:dyDescent="0.2">
      <c r="C282">
        <v>246850278</v>
      </c>
      <c r="D282">
        <v>81314217</v>
      </c>
    </row>
    <row r="283" spans="3:4" x14ac:dyDescent="0.2">
      <c r="C283">
        <v>679626067</v>
      </c>
      <c r="D283">
        <v>205842323</v>
      </c>
    </row>
    <row r="284" spans="3:4" x14ac:dyDescent="0.2">
      <c r="C284">
        <v>660276801</v>
      </c>
      <c r="D284">
        <v>287580871</v>
      </c>
    </row>
    <row r="285" spans="3:4" x14ac:dyDescent="0.2">
      <c r="C285">
        <v>361075575</v>
      </c>
      <c r="D285">
        <v>97782059</v>
      </c>
    </row>
    <row r="286" spans="3:4" x14ac:dyDescent="0.2">
      <c r="C286">
        <v>357540917</v>
      </c>
      <c r="D286">
        <v>136409422</v>
      </c>
    </row>
    <row r="287" spans="3:4" x14ac:dyDescent="0.2">
      <c r="C287">
        <v>316459080</v>
      </c>
      <c r="D287">
        <v>102458810</v>
      </c>
    </row>
    <row r="288" spans="3:4" x14ac:dyDescent="0.2">
      <c r="C288">
        <v>302788363</v>
      </c>
      <c r="D288">
        <v>140858264</v>
      </c>
    </row>
    <row r="289" spans="3:4" x14ac:dyDescent="0.2">
      <c r="C289">
        <v>693350872</v>
      </c>
      <c r="D289">
        <v>264318271</v>
      </c>
    </row>
    <row r="290" spans="3:4" x14ac:dyDescent="0.2">
      <c r="C290">
        <v>126575113</v>
      </c>
      <c r="D290">
        <v>40634087</v>
      </c>
    </row>
    <row r="291" spans="3:4" x14ac:dyDescent="0.2">
      <c r="C291">
        <v>283216192</v>
      </c>
      <c r="D291">
        <v>102498460</v>
      </c>
    </row>
    <row r="292" spans="3:4" x14ac:dyDescent="0.2">
      <c r="C292">
        <v>253600191</v>
      </c>
      <c r="D292">
        <v>109694733</v>
      </c>
    </row>
    <row r="293" spans="3:4" x14ac:dyDescent="0.2">
      <c r="C293">
        <v>451006289</v>
      </c>
      <c r="D293">
        <v>190223487</v>
      </c>
    </row>
    <row r="294" spans="3:4" x14ac:dyDescent="0.2">
      <c r="C294">
        <v>400413654</v>
      </c>
      <c r="D294">
        <v>175262937</v>
      </c>
    </row>
    <row r="295" spans="3:4" x14ac:dyDescent="0.2">
      <c r="C295">
        <v>182281200</v>
      </c>
      <c r="D295">
        <v>109316442</v>
      </c>
    </row>
    <row r="296" spans="3:4" x14ac:dyDescent="0.2">
      <c r="C296">
        <v>707534986</v>
      </c>
      <c r="D296">
        <v>308955905</v>
      </c>
    </row>
    <row r="297" spans="3:4" x14ac:dyDescent="0.2">
      <c r="C297">
        <v>622968293</v>
      </c>
      <c r="D297">
        <v>282272694</v>
      </c>
    </row>
    <row r="298" spans="3:4" x14ac:dyDescent="0.2">
      <c r="C298">
        <v>154191582</v>
      </c>
      <c r="D298">
        <v>59662126</v>
      </c>
    </row>
    <row r="299" spans="3:4" x14ac:dyDescent="0.2">
      <c r="C299">
        <v>444103880</v>
      </c>
      <c r="D299">
        <v>166294339</v>
      </c>
    </row>
    <row r="300" spans="3:4" x14ac:dyDescent="0.2">
      <c r="C300">
        <v>378197901</v>
      </c>
      <c r="D300">
        <v>152023093</v>
      </c>
    </row>
    <row r="301" spans="3:4" x14ac:dyDescent="0.2">
      <c r="C301">
        <v>57972274</v>
      </c>
      <c r="D301">
        <v>23054699</v>
      </c>
    </row>
    <row r="302" spans="3:4" x14ac:dyDescent="0.2">
      <c r="C302">
        <v>78839472</v>
      </c>
      <c r="D302">
        <v>29413048</v>
      </c>
    </row>
    <row r="303" spans="3:4" x14ac:dyDescent="0.2">
      <c r="C303">
        <v>380839348</v>
      </c>
      <c r="D303">
        <v>141243842</v>
      </c>
    </row>
    <row r="304" spans="3:4" x14ac:dyDescent="0.2">
      <c r="C304">
        <v>1280673434</v>
      </c>
      <c r="D304">
        <v>492098287</v>
      </c>
    </row>
    <row r="305" spans="3:4" x14ac:dyDescent="0.2">
      <c r="C305">
        <v>100253548</v>
      </c>
      <c r="D305">
        <v>52241329</v>
      </c>
    </row>
    <row r="306" spans="3:4" x14ac:dyDescent="0.2">
      <c r="C306">
        <v>684291860</v>
      </c>
      <c r="D306">
        <v>252702452</v>
      </c>
    </row>
    <row r="307" spans="3:4" x14ac:dyDescent="0.2">
      <c r="C307">
        <v>336860788</v>
      </c>
      <c r="D307">
        <v>145113356</v>
      </c>
    </row>
    <row r="308" spans="3:4" x14ac:dyDescent="0.2">
      <c r="C308">
        <v>50632330</v>
      </c>
      <c r="D308">
        <v>25905663</v>
      </c>
    </row>
    <row r="309" spans="3:4" x14ac:dyDescent="0.2">
      <c r="C309">
        <v>87600892</v>
      </c>
      <c r="D309">
        <v>28197226</v>
      </c>
    </row>
    <row r="310" spans="3:4" x14ac:dyDescent="0.2">
      <c r="C310">
        <v>647826597</v>
      </c>
      <c r="D310">
        <v>216383546</v>
      </c>
    </row>
    <row r="311" spans="3:4" x14ac:dyDescent="0.2">
      <c r="C311">
        <v>147388755</v>
      </c>
      <c r="D311">
        <v>89728163</v>
      </c>
    </row>
    <row r="312" spans="3:4" x14ac:dyDescent="0.2">
      <c r="C312">
        <v>399281669</v>
      </c>
      <c r="D312">
        <v>227853389</v>
      </c>
    </row>
    <row r="313" spans="3:4" x14ac:dyDescent="0.2">
      <c r="C313">
        <v>329142268</v>
      </c>
      <c r="D313">
        <v>169802714</v>
      </c>
    </row>
    <row r="314" spans="3:4" x14ac:dyDescent="0.2">
      <c r="C314">
        <v>259522460</v>
      </c>
      <c r="D314">
        <v>97422495</v>
      </c>
    </row>
    <row r="315" spans="3:4" x14ac:dyDescent="0.2">
      <c r="C315">
        <v>1133758434</v>
      </c>
      <c r="D315">
        <v>487353916</v>
      </c>
    </row>
    <row r="316" spans="3:4" x14ac:dyDescent="0.2">
      <c r="C316">
        <v>3316574624</v>
      </c>
      <c r="D316">
        <v>1474655893</v>
      </c>
    </row>
    <row r="317" spans="3:4" x14ac:dyDescent="0.2">
      <c r="C317">
        <v>3742726068</v>
      </c>
      <c r="D317">
        <v>1835277585</v>
      </c>
    </row>
    <row r="318" spans="3:4" x14ac:dyDescent="0.2">
      <c r="C318">
        <v>240148123</v>
      </c>
      <c r="D318">
        <v>92882594</v>
      </c>
    </row>
    <row r="319" spans="3:4" x14ac:dyDescent="0.2">
      <c r="C319">
        <v>63499433</v>
      </c>
      <c r="D319">
        <v>15693556</v>
      </c>
    </row>
    <row r="320" spans="3:4" x14ac:dyDescent="0.2">
      <c r="C320">
        <v>364041789</v>
      </c>
      <c r="D320">
        <v>148608825</v>
      </c>
    </row>
    <row r="321" spans="3:4" x14ac:dyDescent="0.2">
      <c r="C321">
        <v>414218767</v>
      </c>
      <c r="D321">
        <v>144640029</v>
      </c>
    </row>
    <row r="322" spans="3:4" x14ac:dyDescent="0.2">
      <c r="C322">
        <v>953652801</v>
      </c>
      <c r="D322">
        <v>339914036</v>
      </c>
    </row>
    <row r="323" spans="3:4" x14ac:dyDescent="0.2">
      <c r="C323">
        <v>358311549</v>
      </c>
      <c r="D323">
        <v>162009547</v>
      </c>
    </row>
    <row r="324" spans="3:4" x14ac:dyDescent="0.2">
      <c r="C324">
        <v>602161686</v>
      </c>
      <c r="D324">
        <v>275950701</v>
      </c>
    </row>
    <row r="325" spans="3:4" x14ac:dyDescent="0.2">
      <c r="C325">
        <v>1657349088</v>
      </c>
      <c r="D325">
        <v>611344127</v>
      </c>
    </row>
    <row r="326" spans="3:4" x14ac:dyDescent="0.2">
      <c r="C326">
        <v>219220182</v>
      </c>
      <c r="D326">
        <v>81060793</v>
      </c>
    </row>
    <row r="327" spans="3:4" x14ac:dyDescent="0.2">
      <c r="C327">
        <v>1654115323</v>
      </c>
      <c r="D327">
        <v>700230304</v>
      </c>
    </row>
    <row r="328" spans="3:4" x14ac:dyDescent="0.2">
      <c r="C328">
        <v>3901299194</v>
      </c>
      <c r="D328">
        <v>1743283209</v>
      </c>
    </row>
    <row r="329" spans="3:4" x14ac:dyDescent="0.2">
      <c r="C329">
        <v>544966377</v>
      </c>
      <c r="D329">
        <v>166459077</v>
      </c>
    </row>
    <row r="330" spans="3:4" x14ac:dyDescent="0.2">
      <c r="C330">
        <v>756465605</v>
      </c>
      <c r="D330">
        <v>321024181</v>
      </c>
    </row>
    <row r="331" spans="3:4" x14ac:dyDescent="0.2">
      <c r="C331">
        <v>1391593667</v>
      </c>
      <c r="D331">
        <v>498850942</v>
      </c>
    </row>
    <row r="332" spans="3:4" x14ac:dyDescent="0.2">
      <c r="C332">
        <v>2322067917</v>
      </c>
      <c r="D332">
        <v>925402617</v>
      </c>
    </row>
    <row r="333" spans="3:4" x14ac:dyDescent="0.2">
      <c r="C333">
        <v>815906253</v>
      </c>
      <c r="D333">
        <v>350467839</v>
      </c>
    </row>
    <row r="334" spans="3:4" x14ac:dyDescent="0.2">
      <c r="C334">
        <v>464632230</v>
      </c>
      <c r="D334">
        <v>214791212</v>
      </c>
    </row>
    <row r="335" spans="3:4" x14ac:dyDescent="0.2">
      <c r="C335">
        <v>230042341</v>
      </c>
      <c r="D335">
        <v>119188571</v>
      </c>
    </row>
    <row r="336" spans="3:4" x14ac:dyDescent="0.2">
      <c r="C336">
        <v>1687589281</v>
      </c>
      <c r="D336">
        <v>612444707</v>
      </c>
    </row>
    <row r="337" spans="3:4" x14ac:dyDescent="0.2">
      <c r="C337">
        <v>1130846972</v>
      </c>
      <c r="D337">
        <v>437634049</v>
      </c>
    </row>
    <row r="338" spans="3:4" x14ac:dyDescent="0.2">
      <c r="C338">
        <v>199697889</v>
      </c>
      <c r="D338">
        <v>92609341</v>
      </c>
    </row>
    <row r="339" spans="3:4" x14ac:dyDescent="0.2">
      <c r="C339">
        <v>1084324051</v>
      </c>
      <c r="D339">
        <v>444091796</v>
      </c>
    </row>
    <row r="340" spans="3:4" x14ac:dyDescent="0.2">
      <c r="C340">
        <v>435972886</v>
      </c>
      <c r="D340">
        <v>191180360</v>
      </c>
    </row>
    <row r="341" spans="3:4" x14ac:dyDescent="0.2">
      <c r="C341">
        <v>510361909</v>
      </c>
      <c r="D341">
        <v>203490458</v>
      </c>
    </row>
    <row r="342" spans="3:4" x14ac:dyDescent="0.2">
      <c r="C342">
        <v>921102668</v>
      </c>
      <c r="D342">
        <v>351304560</v>
      </c>
    </row>
    <row r="343" spans="3:4" x14ac:dyDescent="0.2">
      <c r="C343">
        <v>2300724316</v>
      </c>
      <c r="D343">
        <v>702537986</v>
      </c>
    </row>
    <row r="344" spans="3:4" x14ac:dyDescent="0.2">
      <c r="C344">
        <v>5258823904</v>
      </c>
      <c r="D344">
        <v>2091811855</v>
      </c>
    </row>
    <row r="345" spans="3:4" x14ac:dyDescent="0.2">
      <c r="C345">
        <v>2755672410</v>
      </c>
      <c r="D345">
        <v>1268019671</v>
      </c>
    </row>
    <row r="346" spans="3:4" x14ac:dyDescent="0.2">
      <c r="C346">
        <v>1598828750</v>
      </c>
      <c r="D346">
        <v>729195877</v>
      </c>
    </row>
    <row r="347" spans="3:4" x14ac:dyDescent="0.2">
      <c r="C347">
        <v>305870278</v>
      </c>
      <c r="D347">
        <v>147546960</v>
      </c>
    </row>
    <row r="348" spans="3:4" x14ac:dyDescent="0.2">
      <c r="C348">
        <v>1299254591</v>
      </c>
      <c r="D348">
        <v>390600513</v>
      </c>
    </row>
    <row r="349" spans="3:4" x14ac:dyDescent="0.2">
      <c r="C349">
        <v>2529472679</v>
      </c>
      <c r="D349">
        <v>943226740</v>
      </c>
    </row>
    <row r="350" spans="3:4" x14ac:dyDescent="0.2">
      <c r="C350">
        <v>10897901401</v>
      </c>
      <c r="D350">
        <v>4678963733</v>
      </c>
    </row>
    <row r="351" spans="3:4" x14ac:dyDescent="0.2">
      <c r="C351">
        <v>31978495887</v>
      </c>
      <c r="D351">
        <v>8055273478</v>
      </c>
    </row>
    <row r="352" spans="3:4" x14ac:dyDescent="0.2">
      <c r="C352">
        <v>767287029</v>
      </c>
      <c r="D352">
        <v>342597183</v>
      </c>
    </row>
    <row r="353" spans="3:4" x14ac:dyDescent="0.2">
      <c r="C353">
        <v>2240597256</v>
      </c>
      <c r="D353">
        <v>788099044</v>
      </c>
    </row>
    <row r="354" spans="3:4" x14ac:dyDescent="0.2">
      <c r="C354">
        <v>2020337932</v>
      </c>
      <c r="D354">
        <v>685159388</v>
      </c>
    </row>
    <row r="355" spans="3:4" x14ac:dyDescent="0.2">
      <c r="C355">
        <v>565189320</v>
      </c>
      <c r="D355">
        <v>191467067</v>
      </c>
    </row>
    <row r="356" spans="3:4" x14ac:dyDescent="0.2">
      <c r="C356">
        <v>4512098551</v>
      </c>
      <c r="D356">
        <v>1513423137</v>
      </c>
    </row>
    <row r="357" spans="3:4" x14ac:dyDescent="0.2">
      <c r="C357">
        <v>13326294</v>
      </c>
      <c r="D357">
        <v>2898185</v>
      </c>
    </row>
    <row r="358" spans="3:4" x14ac:dyDescent="0.2">
      <c r="C358">
        <v>15795891423</v>
      </c>
      <c r="D358">
        <v>5004781415</v>
      </c>
    </row>
    <row r="359" spans="3:4" x14ac:dyDescent="0.2">
      <c r="C359">
        <v>75711662</v>
      </c>
      <c r="D359">
        <v>35151319</v>
      </c>
    </row>
    <row r="360" spans="3:4" x14ac:dyDescent="0.2">
      <c r="C360">
        <v>2128777575</v>
      </c>
      <c r="D360">
        <v>856272007</v>
      </c>
    </row>
    <row r="361" spans="3:4" x14ac:dyDescent="0.2">
      <c r="C361">
        <v>3940974694</v>
      </c>
      <c r="D361">
        <v>1643080258</v>
      </c>
    </row>
    <row r="362" spans="3:4" x14ac:dyDescent="0.2">
      <c r="C362">
        <v>1102260795</v>
      </c>
      <c r="D362">
        <v>416751351</v>
      </c>
    </row>
    <row r="363" spans="3:4" x14ac:dyDescent="0.2">
      <c r="C363">
        <v>6260494204</v>
      </c>
      <c r="D363">
        <v>2449507046</v>
      </c>
    </row>
    <row r="364" spans="3:4" x14ac:dyDescent="0.2">
      <c r="C364">
        <v>2908493376</v>
      </c>
      <c r="D364">
        <v>1095701834</v>
      </c>
    </row>
    <row r="365" spans="3:4" x14ac:dyDescent="0.2">
      <c r="C365">
        <v>2553877256</v>
      </c>
      <c r="D365">
        <v>853505140</v>
      </c>
    </row>
    <row r="366" spans="3:4" x14ac:dyDescent="0.2">
      <c r="C366">
        <v>82891817</v>
      </c>
      <c r="D366">
        <v>25315789</v>
      </c>
    </row>
    <row r="367" spans="3:4" x14ac:dyDescent="0.2">
      <c r="C367">
        <v>1443095630</v>
      </c>
      <c r="D367">
        <v>634707007</v>
      </c>
    </row>
    <row r="368" spans="3:4" x14ac:dyDescent="0.2">
      <c r="C368">
        <v>3062281949</v>
      </c>
      <c r="D368">
        <v>978418341</v>
      </c>
    </row>
    <row r="369" spans="3:4" x14ac:dyDescent="0.2">
      <c r="C369">
        <v>5445652311</v>
      </c>
      <c r="D369">
        <v>2202160876</v>
      </c>
    </row>
    <row r="370" spans="3:4" x14ac:dyDescent="0.2">
      <c r="C370">
        <v>7332331129</v>
      </c>
      <c r="D370">
        <v>2929494526</v>
      </c>
    </row>
    <row r="371" spans="3:4" x14ac:dyDescent="0.2">
      <c r="C371">
        <v>5911195893</v>
      </c>
      <c r="D371">
        <v>2126017168</v>
      </c>
    </row>
    <row r="372" spans="3:4" x14ac:dyDescent="0.2">
      <c r="C372">
        <v>372464440</v>
      </c>
      <c r="D372">
        <v>158930253</v>
      </c>
    </row>
    <row r="373" spans="3:4" x14ac:dyDescent="0.2">
      <c r="C373">
        <v>2993557399</v>
      </c>
      <c r="D373">
        <v>1171832887</v>
      </c>
    </row>
    <row r="374" spans="3:4" x14ac:dyDescent="0.2">
      <c r="C374">
        <v>5520230239</v>
      </c>
      <c r="D374">
        <v>1957872693</v>
      </c>
    </row>
    <row r="375" spans="3:4" x14ac:dyDescent="0.2">
      <c r="C375">
        <v>984457228</v>
      </c>
      <c r="D375">
        <v>343932740</v>
      </c>
    </row>
    <row r="376" spans="3:4" x14ac:dyDescent="0.2">
      <c r="C376">
        <v>8253320526</v>
      </c>
      <c r="D376">
        <v>3323084682</v>
      </c>
    </row>
    <row r="377" spans="3:4" x14ac:dyDescent="0.2">
      <c r="C377">
        <v>2984911814</v>
      </c>
      <c r="D377">
        <v>1222034109</v>
      </c>
    </row>
    <row r="378" spans="3:4" x14ac:dyDescent="0.2">
      <c r="C378">
        <v>6675582670</v>
      </c>
      <c r="D378">
        <v>2525957564</v>
      </c>
    </row>
    <row r="379" spans="3:4" x14ac:dyDescent="0.2">
      <c r="C379">
        <v>1651746037</v>
      </c>
      <c r="D379">
        <v>698577626</v>
      </c>
    </row>
    <row r="380" spans="3:4" x14ac:dyDescent="0.2">
      <c r="C380">
        <v>309862163</v>
      </c>
      <c r="D380">
        <v>121410257</v>
      </c>
    </row>
    <row r="381" spans="3:4" x14ac:dyDescent="0.2">
      <c r="C381">
        <v>677829173</v>
      </c>
      <c r="D381">
        <v>254863124</v>
      </c>
    </row>
    <row r="382" spans="3:4" x14ac:dyDescent="0.2">
      <c r="C382">
        <v>160857380</v>
      </c>
      <c r="D382">
        <v>76249565</v>
      </c>
    </row>
    <row r="383" spans="3:4" x14ac:dyDescent="0.2">
      <c r="C383">
        <v>1236799485</v>
      </c>
      <c r="D383">
        <v>612483643</v>
      </c>
    </row>
    <row r="384" spans="3:4" x14ac:dyDescent="0.2">
      <c r="C384">
        <v>61030816</v>
      </c>
      <c r="D384">
        <v>32115339</v>
      </c>
    </row>
    <row r="385" spans="2:4" x14ac:dyDescent="0.2">
      <c r="C385">
        <v>6994750539</v>
      </c>
      <c r="D385">
        <v>3119921627</v>
      </c>
    </row>
    <row r="386" spans="2:4" x14ac:dyDescent="0.2">
      <c r="C386">
        <v>4333825108</v>
      </c>
      <c r="D386">
        <v>1842223041</v>
      </c>
    </row>
    <row r="387" spans="2:4" x14ac:dyDescent="0.2">
      <c r="C387">
        <v>1320110191</v>
      </c>
      <c r="D387">
        <v>540900101</v>
      </c>
    </row>
    <row r="388" spans="2:4" x14ac:dyDescent="0.2">
      <c r="C388">
        <v>7017763232</v>
      </c>
      <c r="D388">
        <v>3008023273</v>
      </c>
    </row>
    <row r="389" spans="2:4" x14ac:dyDescent="0.2">
      <c r="C389">
        <v>779912615</v>
      </c>
      <c r="D389">
        <v>397541544</v>
      </c>
    </row>
    <row r="390" spans="2:4" x14ac:dyDescent="0.2">
      <c r="C390">
        <v>1102177448</v>
      </c>
      <c r="D390">
        <v>344931868</v>
      </c>
    </row>
    <row r="391" spans="2:4" x14ac:dyDescent="0.2">
      <c r="C391">
        <v>2419704917</v>
      </c>
      <c r="D391">
        <v>1039267271</v>
      </c>
    </row>
    <row r="392" spans="2:4" x14ac:dyDescent="0.2">
      <c r="C392">
        <v>1242910703</v>
      </c>
      <c r="D392">
        <v>486118209</v>
      </c>
    </row>
    <row r="393" spans="2:4" x14ac:dyDescent="0.2">
      <c r="C393">
        <v>1000747053</v>
      </c>
      <c r="D393">
        <v>359627357</v>
      </c>
    </row>
    <row r="394" spans="2:4" x14ac:dyDescent="0.2">
      <c r="C394">
        <v>2605221497</v>
      </c>
      <c r="D394">
        <v>955551847</v>
      </c>
    </row>
    <row r="395" spans="2:4" x14ac:dyDescent="0.2">
      <c r="C395">
        <v>2925304910</v>
      </c>
      <c r="D395">
        <v>1147183538</v>
      </c>
    </row>
    <row r="396" spans="2:4" x14ac:dyDescent="0.2">
      <c r="C396">
        <v>18274130198</v>
      </c>
      <c r="D396">
        <v>2440272273</v>
      </c>
    </row>
    <row r="397" spans="2:4" x14ac:dyDescent="0.2">
      <c r="C397">
        <v>16962669</v>
      </c>
      <c r="D397">
        <v>4069635</v>
      </c>
    </row>
    <row r="398" spans="2:4" x14ac:dyDescent="0.2">
      <c r="B398" t="s">
        <v>210</v>
      </c>
      <c r="C398" s="9">
        <f>SUM(C2:C397)</f>
        <v>56507610978258</v>
      </c>
      <c r="D398" s="9">
        <f>SUM(D2:D397)</f>
        <v>18066307437814</v>
      </c>
    </row>
    <row r="401" spans="3:13" x14ac:dyDescent="0.2">
      <c r="C401" s="7" t="s">
        <v>211</v>
      </c>
      <c r="D401" s="5" t="s">
        <v>212</v>
      </c>
      <c r="E401" s="5" t="s">
        <v>213</v>
      </c>
      <c r="F401" s="5" t="s">
        <v>214</v>
      </c>
    </row>
    <row r="402" spans="3:13" x14ac:dyDescent="0.2">
      <c r="C402" s="3" t="s">
        <v>215</v>
      </c>
      <c r="D402" s="9">
        <f>C398</f>
        <v>56507610978258</v>
      </c>
      <c r="E402" s="1">
        <f>D398</f>
        <v>18066307437814</v>
      </c>
      <c r="F402" s="1">
        <f>SUM(D402:E402)</f>
        <v>74573918416072</v>
      </c>
    </row>
    <row r="403" spans="3:13" x14ac:dyDescent="0.2">
      <c r="C403" s="3" t="s">
        <v>216</v>
      </c>
      <c r="D403" s="1">
        <f>F403-E403</f>
        <v>56507610978258</v>
      </c>
      <c r="E403" s="1">
        <v>18066308058434</v>
      </c>
      <c r="F403" s="1">
        <v>74573919036692</v>
      </c>
    </row>
    <row r="404" spans="3:13" x14ac:dyDescent="0.2">
      <c r="C404" s="3" t="s">
        <v>217</v>
      </c>
      <c r="D404" s="1">
        <f>D402-D403</f>
        <v>0</v>
      </c>
      <c r="E404" s="1">
        <f t="shared" ref="E404" si="0">E402-E403</f>
        <v>-620620</v>
      </c>
      <c r="F404" s="1">
        <f>F402-F403</f>
        <v>-620620</v>
      </c>
    </row>
    <row r="412" spans="3:13" x14ac:dyDescent="0.2">
      <c r="M41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opLeftCell="A37" workbookViewId="0">
      <selection sqref="A1:T50"/>
    </sheetView>
  </sheetViews>
  <sheetFormatPr defaultRowHeight="12" x14ac:dyDescent="0.2"/>
  <sheetData>
    <row r="1" spans="1:20" ht="15" x14ac:dyDescent="0.2">
      <c r="A1" s="11" t="s">
        <v>218</v>
      </c>
      <c r="B1" s="11" t="s">
        <v>219</v>
      </c>
      <c r="C1" s="11" t="s">
        <v>220</v>
      </c>
      <c r="D1" s="11" t="s">
        <v>221</v>
      </c>
      <c r="E1" s="11" t="s">
        <v>222</v>
      </c>
      <c r="F1" s="11" t="s">
        <v>223</v>
      </c>
      <c r="G1" s="11" t="s">
        <v>224</v>
      </c>
      <c r="H1" s="11" t="s">
        <v>225</v>
      </c>
      <c r="I1" s="11" t="s">
        <v>226</v>
      </c>
      <c r="J1" s="11" t="s">
        <v>227</v>
      </c>
      <c r="K1" s="11" t="s">
        <v>228</v>
      </c>
      <c r="L1" s="11" t="s">
        <v>229</v>
      </c>
      <c r="M1" s="11" t="s">
        <v>230</v>
      </c>
      <c r="N1" s="11" t="s">
        <v>231</v>
      </c>
      <c r="O1" s="11" t="s">
        <v>232</v>
      </c>
      <c r="P1" s="11" t="s">
        <v>233</v>
      </c>
      <c r="Q1" s="11" t="s">
        <v>234</v>
      </c>
      <c r="R1" s="11" t="s">
        <v>235</v>
      </c>
      <c r="S1" s="11" t="s">
        <v>236</v>
      </c>
      <c r="T1" s="11" t="s">
        <v>237</v>
      </c>
    </row>
    <row r="2" spans="1:20" x14ac:dyDescent="0.2">
      <c r="A2" s="10" t="s">
        <v>238</v>
      </c>
      <c r="B2" s="10" t="s">
        <v>239</v>
      </c>
      <c r="C2" s="10" t="s">
        <v>240</v>
      </c>
      <c r="D2" s="10" t="s">
        <v>241</v>
      </c>
      <c r="E2" s="10" t="s">
        <v>242</v>
      </c>
      <c r="F2" s="8">
        <v>45443</v>
      </c>
      <c r="G2" s="10" t="s">
        <v>243</v>
      </c>
      <c r="H2" s="10" t="s">
        <v>244</v>
      </c>
      <c r="I2" s="10" t="s">
        <v>245</v>
      </c>
      <c r="J2" s="6">
        <v>-37655994</v>
      </c>
      <c r="K2" s="4">
        <v>0</v>
      </c>
      <c r="L2" s="2">
        <v>0</v>
      </c>
      <c r="M2" s="10" t="s">
        <v>246</v>
      </c>
      <c r="N2" s="10" t="s">
        <v>247</v>
      </c>
      <c r="O2" s="10" t="s">
        <v>247</v>
      </c>
      <c r="P2" s="10" t="s">
        <v>248</v>
      </c>
      <c r="Q2" s="10" t="s">
        <v>249</v>
      </c>
      <c r="R2" s="8">
        <v>45444</v>
      </c>
      <c r="S2" s="14">
        <v>0.28748842592592999</v>
      </c>
      <c r="T2" s="10" t="s">
        <v>250</v>
      </c>
    </row>
    <row r="3" spans="1:20" x14ac:dyDescent="0.2">
      <c r="A3" s="10" t="s">
        <v>238</v>
      </c>
      <c r="B3" s="10" t="s">
        <v>239</v>
      </c>
      <c r="C3" s="10" t="s">
        <v>240</v>
      </c>
      <c r="D3" s="10" t="s">
        <v>251</v>
      </c>
      <c r="E3" s="10" t="s">
        <v>252</v>
      </c>
      <c r="F3" s="8">
        <v>45443</v>
      </c>
      <c r="G3" s="10" t="s">
        <v>253</v>
      </c>
      <c r="H3" s="10" t="s">
        <v>244</v>
      </c>
      <c r="I3" s="10" t="s">
        <v>245</v>
      </c>
      <c r="J3" s="4">
        <v>634272</v>
      </c>
      <c r="K3" s="4">
        <v>0</v>
      </c>
      <c r="L3" s="2">
        <v>0</v>
      </c>
      <c r="M3" s="10" t="s">
        <v>246</v>
      </c>
      <c r="N3" s="10" t="s">
        <v>247</v>
      </c>
      <c r="O3" s="10" t="s">
        <v>247</v>
      </c>
      <c r="P3" s="10" t="s">
        <v>254</v>
      </c>
      <c r="Q3" s="10" t="s">
        <v>249</v>
      </c>
      <c r="R3" s="8">
        <v>45444</v>
      </c>
      <c r="S3" s="14">
        <v>0.23476851851851999</v>
      </c>
      <c r="T3" s="10" t="s">
        <v>255</v>
      </c>
    </row>
    <row r="4" spans="1:20" x14ac:dyDescent="0.2">
      <c r="A4" s="10" t="s">
        <v>238</v>
      </c>
      <c r="B4" s="10" t="s">
        <v>239</v>
      </c>
      <c r="C4" s="10" t="s">
        <v>240</v>
      </c>
      <c r="D4" s="10" t="s">
        <v>256</v>
      </c>
      <c r="E4" s="10" t="s">
        <v>257</v>
      </c>
      <c r="F4" s="8">
        <v>45443</v>
      </c>
      <c r="G4" s="10" t="s">
        <v>258</v>
      </c>
      <c r="H4" s="10" t="s">
        <v>244</v>
      </c>
      <c r="I4" s="10" t="s">
        <v>245</v>
      </c>
      <c r="J4" s="4">
        <v>5633738</v>
      </c>
      <c r="K4" s="4">
        <v>0</v>
      </c>
      <c r="L4" s="2">
        <v>0</v>
      </c>
      <c r="M4" s="10" t="s">
        <v>246</v>
      </c>
      <c r="N4" s="10" t="s">
        <v>247</v>
      </c>
      <c r="O4" s="10" t="s">
        <v>247</v>
      </c>
      <c r="P4" s="10" t="s">
        <v>254</v>
      </c>
      <c r="Q4" s="10" t="s">
        <v>249</v>
      </c>
      <c r="R4" s="8">
        <v>45444</v>
      </c>
      <c r="S4" s="14">
        <v>0.23476851851851999</v>
      </c>
      <c r="T4" s="10" t="s">
        <v>255</v>
      </c>
    </row>
    <row r="5" spans="1:20" x14ac:dyDescent="0.2">
      <c r="A5" s="10" t="s">
        <v>238</v>
      </c>
      <c r="B5" s="10" t="s">
        <v>239</v>
      </c>
      <c r="C5" s="10" t="s">
        <v>240</v>
      </c>
      <c r="D5" s="10" t="s">
        <v>259</v>
      </c>
      <c r="E5" s="10" t="s">
        <v>260</v>
      </c>
      <c r="F5" s="8">
        <v>45443</v>
      </c>
      <c r="G5" s="10" t="s">
        <v>261</v>
      </c>
      <c r="H5" s="10" t="s">
        <v>244</v>
      </c>
      <c r="I5" s="10" t="s">
        <v>245</v>
      </c>
      <c r="J5" s="4">
        <v>1759217</v>
      </c>
      <c r="K5" s="4">
        <v>0</v>
      </c>
      <c r="L5" s="2">
        <v>0</v>
      </c>
      <c r="M5" s="10" t="s">
        <v>246</v>
      </c>
      <c r="N5" s="10" t="s">
        <v>247</v>
      </c>
      <c r="O5" s="10" t="s">
        <v>247</v>
      </c>
      <c r="P5" s="10" t="s">
        <v>254</v>
      </c>
      <c r="Q5" s="10" t="s">
        <v>249</v>
      </c>
      <c r="R5" s="8">
        <v>45444</v>
      </c>
      <c r="S5" s="14">
        <v>0.23576388888888999</v>
      </c>
      <c r="T5" s="10" t="s">
        <v>255</v>
      </c>
    </row>
    <row r="6" spans="1:20" x14ac:dyDescent="0.2">
      <c r="A6" s="10" t="s">
        <v>238</v>
      </c>
      <c r="B6" s="10" t="s">
        <v>239</v>
      </c>
      <c r="C6" s="10" t="s">
        <v>240</v>
      </c>
      <c r="D6" s="10" t="s">
        <v>262</v>
      </c>
      <c r="E6" s="10" t="s">
        <v>263</v>
      </c>
      <c r="F6" s="8">
        <v>45443</v>
      </c>
      <c r="G6" s="10" t="s">
        <v>264</v>
      </c>
      <c r="H6" s="10" t="s">
        <v>244</v>
      </c>
      <c r="I6" s="10" t="s">
        <v>245</v>
      </c>
      <c r="J6" s="6">
        <v>-634426</v>
      </c>
      <c r="K6" s="4">
        <v>0</v>
      </c>
      <c r="L6" s="2">
        <v>0</v>
      </c>
      <c r="M6" s="10" t="s">
        <v>246</v>
      </c>
      <c r="N6" s="10" t="s">
        <v>247</v>
      </c>
      <c r="O6" s="10" t="s">
        <v>247</v>
      </c>
      <c r="P6" s="10" t="s">
        <v>254</v>
      </c>
      <c r="Q6" s="10" t="s">
        <v>249</v>
      </c>
      <c r="R6" s="8">
        <v>45444</v>
      </c>
      <c r="S6" s="14">
        <v>0.23576388888888999</v>
      </c>
      <c r="T6" s="10" t="s">
        <v>255</v>
      </c>
    </row>
    <row r="7" spans="1:20" x14ac:dyDescent="0.2">
      <c r="A7" s="10" t="s">
        <v>238</v>
      </c>
      <c r="B7" s="10" t="s">
        <v>239</v>
      </c>
      <c r="C7" s="10" t="s">
        <v>240</v>
      </c>
      <c r="D7" s="10" t="s">
        <v>265</v>
      </c>
      <c r="E7" s="10" t="s">
        <v>266</v>
      </c>
      <c r="F7" s="8">
        <v>45443</v>
      </c>
      <c r="G7" s="10" t="s">
        <v>267</v>
      </c>
      <c r="H7" s="10" t="s">
        <v>244</v>
      </c>
      <c r="I7" s="10" t="s">
        <v>245</v>
      </c>
      <c r="J7" s="4">
        <v>3966115</v>
      </c>
      <c r="K7" s="4">
        <v>0</v>
      </c>
      <c r="L7" s="2">
        <v>0</v>
      </c>
      <c r="M7" s="10" t="s">
        <v>246</v>
      </c>
      <c r="N7" s="10" t="s">
        <v>247</v>
      </c>
      <c r="O7" s="10" t="s">
        <v>247</v>
      </c>
      <c r="P7" s="10" t="s">
        <v>254</v>
      </c>
      <c r="Q7" s="10" t="s">
        <v>249</v>
      </c>
      <c r="R7" s="8">
        <v>45444</v>
      </c>
      <c r="S7" s="14">
        <v>0.23576388888888999</v>
      </c>
      <c r="T7" s="10" t="s">
        <v>255</v>
      </c>
    </row>
    <row r="8" spans="1:20" x14ac:dyDescent="0.2">
      <c r="A8" s="10" t="s">
        <v>238</v>
      </c>
      <c r="B8" s="10" t="s">
        <v>239</v>
      </c>
      <c r="C8" s="10" t="s">
        <v>240</v>
      </c>
      <c r="D8" s="10" t="s">
        <v>268</v>
      </c>
      <c r="E8" s="10" t="s">
        <v>269</v>
      </c>
      <c r="F8" s="8">
        <v>45443</v>
      </c>
      <c r="G8" s="10" t="s">
        <v>270</v>
      </c>
      <c r="H8" s="10" t="s">
        <v>244</v>
      </c>
      <c r="I8" s="10" t="s">
        <v>245</v>
      </c>
      <c r="J8" s="4">
        <v>5933096</v>
      </c>
      <c r="K8" s="4">
        <v>0</v>
      </c>
      <c r="L8" s="2">
        <v>0</v>
      </c>
      <c r="M8" s="10" t="s">
        <v>246</v>
      </c>
      <c r="N8" s="10" t="s">
        <v>247</v>
      </c>
      <c r="O8" s="10" t="s">
        <v>247</v>
      </c>
      <c r="P8" s="10" t="s">
        <v>254</v>
      </c>
      <c r="Q8" s="10" t="s">
        <v>249</v>
      </c>
      <c r="R8" s="8">
        <v>45444</v>
      </c>
      <c r="S8" s="14">
        <v>0.23782407407407</v>
      </c>
      <c r="T8" s="10" t="s">
        <v>255</v>
      </c>
    </row>
    <row r="9" spans="1:20" x14ac:dyDescent="0.2">
      <c r="A9" s="10" t="s">
        <v>238</v>
      </c>
      <c r="B9" s="10" t="s">
        <v>239</v>
      </c>
      <c r="C9" s="10" t="s">
        <v>240</v>
      </c>
      <c r="D9" s="10" t="s">
        <v>271</v>
      </c>
      <c r="E9" s="10" t="s">
        <v>272</v>
      </c>
      <c r="F9" s="8">
        <v>45443</v>
      </c>
      <c r="G9" s="10" t="s">
        <v>273</v>
      </c>
      <c r="H9" s="10" t="s">
        <v>244</v>
      </c>
      <c r="I9" s="10" t="s">
        <v>245</v>
      </c>
      <c r="J9" s="4">
        <v>916120</v>
      </c>
      <c r="K9" s="4">
        <v>0</v>
      </c>
      <c r="L9" s="2">
        <v>0</v>
      </c>
      <c r="M9" s="10" t="s">
        <v>246</v>
      </c>
      <c r="N9" s="10" t="s">
        <v>247</v>
      </c>
      <c r="O9" s="10" t="s">
        <v>247</v>
      </c>
      <c r="P9" s="10" t="s">
        <v>254</v>
      </c>
      <c r="Q9" s="10" t="s">
        <v>249</v>
      </c>
      <c r="R9" s="8">
        <v>45444</v>
      </c>
      <c r="S9" s="14">
        <v>0.23782407407407</v>
      </c>
      <c r="T9" s="10" t="s">
        <v>255</v>
      </c>
    </row>
    <row r="10" spans="1:20" x14ac:dyDescent="0.2">
      <c r="A10" s="10" t="s">
        <v>238</v>
      </c>
      <c r="B10" s="10" t="s">
        <v>239</v>
      </c>
      <c r="C10" s="10" t="s">
        <v>240</v>
      </c>
      <c r="D10" s="10" t="s">
        <v>274</v>
      </c>
      <c r="E10" s="10" t="s">
        <v>275</v>
      </c>
      <c r="F10" s="8">
        <v>45443</v>
      </c>
      <c r="G10" s="10" t="s">
        <v>276</v>
      </c>
      <c r="H10" s="10" t="s">
        <v>244</v>
      </c>
      <c r="I10" s="10" t="s">
        <v>245</v>
      </c>
      <c r="J10" s="4">
        <v>6735460</v>
      </c>
      <c r="K10" s="4">
        <v>0</v>
      </c>
      <c r="L10" s="2">
        <v>0</v>
      </c>
      <c r="M10" s="10" t="s">
        <v>246</v>
      </c>
      <c r="N10" s="10" t="s">
        <v>247</v>
      </c>
      <c r="O10" s="10" t="s">
        <v>247</v>
      </c>
      <c r="P10" s="10" t="s">
        <v>254</v>
      </c>
      <c r="Q10" s="10" t="s">
        <v>249</v>
      </c>
      <c r="R10" s="8">
        <v>45444</v>
      </c>
      <c r="S10" s="14">
        <v>0.24053240740741</v>
      </c>
      <c r="T10" s="10" t="s">
        <v>255</v>
      </c>
    </row>
    <row r="11" spans="1:20" x14ac:dyDescent="0.2">
      <c r="A11" s="10" t="s">
        <v>238</v>
      </c>
      <c r="B11" s="10" t="s">
        <v>239</v>
      </c>
      <c r="C11" s="10" t="s">
        <v>240</v>
      </c>
      <c r="D11" s="10" t="s">
        <v>277</v>
      </c>
      <c r="E11" s="10" t="s">
        <v>278</v>
      </c>
      <c r="F11" s="8">
        <v>45443</v>
      </c>
      <c r="G11" s="10" t="s">
        <v>279</v>
      </c>
      <c r="H11" s="10" t="s">
        <v>244</v>
      </c>
      <c r="I11" s="10" t="s">
        <v>245</v>
      </c>
      <c r="J11" s="4">
        <v>3372258</v>
      </c>
      <c r="K11" s="4">
        <v>0</v>
      </c>
      <c r="L11" s="2">
        <v>0</v>
      </c>
      <c r="M11" s="10" t="s">
        <v>246</v>
      </c>
      <c r="N11" s="10" t="s">
        <v>247</v>
      </c>
      <c r="O11" s="10" t="s">
        <v>247</v>
      </c>
      <c r="P11" s="10" t="s">
        <v>254</v>
      </c>
      <c r="Q11" s="10" t="s">
        <v>249</v>
      </c>
      <c r="R11" s="8">
        <v>45444</v>
      </c>
      <c r="S11" s="14">
        <v>0.24053240740741</v>
      </c>
      <c r="T11" s="10" t="s">
        <v>255</v>
      </c>
    </row>
    <row r="12" spans="1:20" x14ac:dyDescent="0.2">
      <c r="A12" s="10" t="s">
        <v>238</v>
      </c>
      <c r="B12" s="10" t="s">
        <v>239</v>
      </c>
      <c r="C12" s="10" t="s">
        <v>240</v>
      </c>
      <c r="D12" s="10" t="s">
        <v>280</v>
      </c>
      <c r="E12" s="10" t="s">
        <v>281</v>
      </c>
      <c r="F12" s="8">
        <v>45443</v>
      </c>
      <c r="G12" s="10" t="s">
        <v>282</v>
      </c>
      <c r="H12" s="10" t="s">
        <v>244</v>
      </c>
      <c r="I12" s="10" t="s">
        <v>245</v>
      </c>
      <c r="J12" s="4">
        <v>3864517</v>
      </c>
      <c r="K12" s="4">
        <v>0</v>
      </c>
      <c r="L12" s="2">
        <v>0</v>
      </c>
      <c r="M12" s="10" t="s">
        <v>246</v>
      </c>
      <c r="N12" s="10" t="s">
        <v>247</v>
      </c>
      <c r="O12" s="10" t="s">
        <v>247</v>
      </c>
      <c r="P12" s="10" t="s">
        <v>254</v>
      </c>
      <c r="Q12" s="10" t="s">
        <v>249</v>
      </c>
      <c r="R12" s="8">
        <v>45444</v>
      </c>
      <c r="S12" s="14">
        <v>0.24053240740741</v>
      </c>
      <c r="T12" s="10" t="s">
        <v>255</v>
      </c>
    </row>
    <row r="13" spans="1:20" x14ac:dyDescent="0.2">
      <c r="A13" s="10" t="s">
        <v>238</v>
      </c>
      <c r="B13" s="10" t="s">
        <v>239</v>
      </c>
      <c r="C13" s="10" t="s">
        <v>240</v>
      </c>
      <c r="D13" s="10" t="s">
        <v>283</v>
      </c>
      <c r="E13" s="10" t="s">
        <v>284</v>
      </c>
      <c r="F13" s="8">
        <v>45443</v>
      </c>
      <c r="G13" s="10" t="s">
        <v>285</v>
      </c>
      <c r="H13" s="10" t="s">
        <v>244</v>
      </c>
      <c r="I13" s="10" t="s">
        <v>245</v>
      </c>
      <c r="J13" s="4">
        <v>11611647</v>
      </c>
      <c r="K13" s="4">
        <v>0</v>
      </c>
      <c r="L13" s="2">
        <v>0</v>
      </c>
      <c r="M13" s="10" t="s">
        <v>246</v>
      </c>
      <c r="N13" s="10" t="s">
        <v>247</v>
      </c>
      <c r="O13" s="10" t="s">
        <v>247</v>
      </c>
      <c r="P13" s="10" t="s">
        <v>254</v>
      </c>
      <c r="Q13" s="10" t="s">
        <v>249</v>
      </c>
      <c r="R13" s="8">
        <v>45444</v>
      </c>
      <c r="S13" s="14">
        <v>0.24053240740741</v>
      </c>
      <c r="T13" s="10" t="s">
        <v>255</v>
      </c>
    </row>
    <row r="14" spans="1:20" x14ac:dyDescent="0.2">
      <c r="A14" s="10" t="s">
        <v>238</v>
      </c>
      <c r="B14" s="10" t="s">
        <v>239</v>
      </c>
      <c r="C14" s="10" t="s">
        <v>240</v>
      </c>
      <c r="D14" s="10" t="s">
        <v>286</v>
      </c>
      <c r="E14" s="10" t="s">
        <v>287</v>
      </c>
      <c r="F14" s="8">
        <v>45443</v>
      </c>
      <c r="G14" s="10" t="s">
        <v>288</v>
      </c>
      <c r="H14" s="10" t="s">
        <v>244</v>
      </c>
      <c r="I14" s="10" t="s">
        <v>245</v>
      </c>
      <c r="J14" s="4">
        <v>4030700</v>
      </c>
      <c r="K14" s="4">
        <v>0</v>
      </c>
      <c r="L14" s="2">
        <v>0</v>
      </c>
      <c r="M14" s="10" t="s">
        <v>246</v>
      </c>
      <c r="N14" s="10" t="s">
        <v>247</v>
      </c>
      <c r="O14" s="10" t="s">
        <v>247</v>
      </c>
      <c r="P14" s="10" t="s">
        <v>254</v>
      </c>
      <c r="Q14" s="10" t="s">
        <v>249</v>
      </c>
      <c r="R14" s="8">
        <v>45444</v>
      </c>
      <c r="S14" s="14">
        <v>0.24053240740741</v>
      </c>
      <c r="T14" s="10" t="s">
        <v>255</v>
      </c>
    </row>
    <row r="15" spans="1:20" x14ac:dyDescent="0.2">
      <c r="A15" s="10" t="s">
        <v>238</v>
      </c>
      <c r="B15" s="10" t="s">
        <v>239</v>
      </c>
      <c r="C15" s="10" t="s">
        <v>240</v>
      </c>
      <c r="D15" s="10" t="s">
        <v>289</v>
      </c>
      <c r="E15" s="10" t="s">
        <v>290</v>
      </c>
      <c r="F15" s="8">
        <v>45443</v>
      </c>
      <c r="G15" s="10" t="s">
        <v>291</v>
      </c>
      <c r="H15" s="10" t="s">
        <v>244</v>
      </c>
      <c r="I15" s="10" t="s">
        <v>245</v>
      </c>
      <c r="J15" s="4">
        <v>5965976</v>
      </c>
      <c r="K15" s="4">
        <v>0</v>
      </c>
      <c r="L15" s="2">
        <v>0</v>
      </c>
      <c r="M15" s="10" t="s">
        <v>246</v>
      </c>
      <c r="N15" s="10" t="s">
        <v>247</v>
      </c>
      <c r="O15" s="10" t="s">
        <v>247</v>
      </c>
      <c r="P15" s="10" t="s">
        <v>254</v>
      </c>
      <c r="Q15" s="10" t="s">
        <v>249</v>
      </c>
      <c r="R15" s="8">
        <v>45444</v>
      </c>
      <c r="S15" s="14">
        <v>0.24053240740741</v>
      </c>
      <c r="T15" s="10" t="s">
        <v>255</v>
      </c>
    </row>
    <row r="16" spans="1:20" x14ac:dyDescent="0.2">
      <c r="A16" s="10" t="s">
        <v>238</v>
      </c>
      <c r="B16" s="10" t="s">
        <v>239</v>
      </c>
      <c r="C16" s="10" t="s">
        <v>240</v>
      </c>
      <c r="D16" s="10" t="s">
        <v>292</v>
      </c>
      <c r="E16" s="10" t="s">
        <v>293</v>
      </c>
      <c r="F16" s="8">
        <v>45443</v>
      </c>
      <c r="G16" s="10" t="s">
        <v>294</v>
      </c>
      <c r="H16" s="10" t="s">
        <v>244</v>
      </c>
      <c r="I16" s="10" t="s">
        <v>245</v>
      </c>
      <c r="J16" s="4">
        <v>815958</v>
      </c>
      <c r="K16" s="4">
        <v>0</v>
      </c>
      <c r="L16" s="2">
        <v>0</v>
      </c>
      <c r="M16" s="10" t="s">
        <v>246</v>
      </c>
      <c r="N16" s="10" t="s">
        <v>247</v>
      </c>
      <c r="O16" s="10" t="s">
        <v>247</v>
      </c>
      <c r="P16" s="10" t="s">
        <v>254</v>
      </c>
      <c r="Q16" s="10" t="s">
        <v>249</v>
      </c>
      <c r="R16" s="8">
        <v>45444</v>
      </c>
      <c r="S16" s="14">
        <v>0.24053240740741</v>
      </c>
      <c r="T16" s="10" t="s">
        <v>255</v>
      </c>
    </row>
    <row r="17" spans="1:20" x14ac:dyDescent="0.2">
      <c r="A17" s="10" t="s">
        <v>238</v>
      </c>
      <c r="B17" s="10" t="s">
        <v>239</v>
      </c>
      <c r="C17" s="10" t="s">
        <v>240</v>
      </c>
      <c r="D17" s="10" t="s">
        <v>295</v>
      </c>
      <c r="E17" s="10" t="s">
        <v>296</v>
      </c>
      <c r="F17" s="8">
        <v>45443</v>
      </c>
      <c r="G17" s="10" t="s">
        <v>297</v>
      </c>
      <c r="H17" s="10" t="s">
        <v>244</v>
      </c>
      <c r="I17" s="10" t="s">
        <v>245</v>
      </c>
      <c r="J17" s="4">
        <v>1755214</v>
      </c>
      <c r="K17" s="4">
        <v>0</v>
      </c>
      <c r="L17" s="2">
        <v>0</v>
      </c>
      <c r="M17" s="10" t="s">
        <v>246</v>
      </c>
      <c r="N17" s="10" t="s">
        <v>247</v>
      </c>
      <c r="O17" s="10" t="s">
        <v>247</v>
      </c>
      <c r="P17" s="10" t="s">
        <v>254</v>
      </c>
      <c r="Q17" s="10" t="s">
        <v>249</v>
      </c>
      <c r="R17" s="8">
        <v>45444</v>
      </c>
      <c r="S17" s="14">
        <v>0.24053240740741</v>
      </c>
      <c r="T17" s="10" t="s">
        <v>255</v>
      </c>
    </row>
    <row r="18" spans="1:20" x14ac:dyDescent="0.2">
      <c r="A18" s="10" t="s">
        <v>238</v>
      </c>
      <c r="B18" s="10" t="s">
        <v>239</v>
      </c>
      <c r="C18" s="10" t="s">
        <v>240</v>
      </c>
      <c r="D18" s="10" t="s">
        <v>298</v>
      </c>
      <c r="E18" s="10" t="s">
        <v>299</v>
      </c>
      <c r="F18" s="8">
        <v>45443</v>
      </c>
      <c r="G18" s="10" t="s">
        <v>300</v>
      </c>
      <c r="H18" s="10" t="s">
        <v>244</v>
      </c>
      <c r="I18" s="10" t="s">
        <v>245</v>
      </c>
      <c r="J18" s="4">
        <v>6723912</v>
      </c>
      <c r="K18" s="4">
        <v>0</v>
      </c>
      <c r="L18" s="2">
        <v>0</v>
      </c>
      <c r="M18" s="10" t="s">
        <v>246</v>
      </c>
      <c r="N18" s="10" t="s">
        <v>247</v>
      </c>
      <c r="O18" s="10" t="s">
        <v>247</v>
      </c>
      <c r="P18" s="10" t="s">
        <v>254</v>
      </c>
      <c r="Q18" s="10" t="s">
        <v>249</v>
      </c>
      <c r="R18" s="8">
        <v>45444</v>
      </c>
      <c r="S18" s="14">
        <v>0.24053240740741</v>
      </c>
      <c r="T18" s="10" t="s">
        <v>255</v>
      </c>
    </row>
    <row r="19" spans="1:20" x14ac:dyDescent="0.2">
      <c r="A19" s="10" t="s">
        <v>238</v>
      </c>
      <c r="B19" s="10" t="s">
        <v>239</v>
      </c>
      <c r="C19" s="10" t="s">
        <v>240</v>
      </c>
      <c r="D19" s="10" t="s">
        <v>301</v>
      </c>
      <c r="E19" s="10" t="s">
        <v>302</v>
      </c>
      <c r="F19" s="8">
        <v>45443</v>
      </c>
      <c r="G19" s="10" t="s">
        <v>303</v>
      </c>
      <c r="H19" s="10" t="s">
        <v>244</v>
      </c>
      <c r="I19" s="10" t="s">
        <v>245</v>
      </c>
      <c r="J19" s="4">
        <v>347867</v>
      </c>
      <c r="K19" s="4">
        <v>0</v>
      </c>
      <c r="L19" s="2">
        <v>0</v>
      </c>
      <c r="M19" s="10" t="s">
        <v>246</v>
      </c>
      <c r="N19" s="10" t="s">
        <v>247</v>
      </c>
      <c r="O19" s="10" t="s">
        <v>247</v>
      </c>
      <c r="P19" s="10" t="s">
        <v>254</v>
      </c>
      <c r="Q19" s="10" t="s">
        <v>249</v>
      </c>
      <c r="R19" s="8">
        <v>45444</v>
      </c>
      <c r="S19" s="14">
        <v>0.24436342592592999</v>
      </c>
      <c r="T19" s="10" t="s">
        <v>255</v>
      </c>
    </row>
    <row r="20" spans="1:20" x14ac:dyDescent="0.2">
      <c r="A20" s="10" t="s">
        <v>238</v>
      </c>
      <c r="B20" s="10" t="s">
        <v>239</v>
      </c>
      <c r="C20" s="10" t="s">
        <v>240</v>
      </c>
      <c r="D20" s="10" t="s">
        <v>304</v>
      </c>
      <c r="E20" s="10" t="s">
        <v>305</v>
      </c>
      <c r="F20" s="8">
        <v>45443</v>
      </c>
      <c r="G20" s="10" t="s">
        <v>306</v>
      </c>
      <c r="H20" s="10" t="s">
        <v>244</v>
      </c>
      <c r="I20" s="10" t="s">
        <v>245</v>
      </c>
      <c r="J20" s="4">
        <v>8297206</v>
      </c>
      <c r="K20" s="4">
        <v>0</v>
      </c>
      <c r="L20" s="2">
        <v>0</v>
      </c>
      <c r="M20" s="10" t="s">
        <v>246</v>
      </c>
      <c r="N20" s="10" t="s">
        <v>247</v>
      </c>
      <c r="O20" s="10" t="s">
        <v>247</v>
      </c>
      <c r="P20" s="10" t="s">
        <v>254</v>
      </c>
      <c r="Q20" s="10" t="s">
        <v>249</v>
      </c>
      <c r="R20" s="8">
        <v>45444</v>
      </c>
      <c r="S20" s="14">
        <v>0.24436342592592999</v>
      </c>
      <c r="T20" s="10" t="s">
        <v>255</v>
      </c>
    </row>
    <row r="21" spans="1:20" x14ac:dyDescent="0.2">
      <c r="A21" s="10" t="s">
        <v>238</v>
      </c>
      <c r="B21" s="10" t="s">
        <v>239</v>
      </c>
      <c r="C21" s="10" t="s">
        <v>240</v>
      </c>
      <c r="D21" s="10" t="s">
        <v>307</v>
      </c>
      <c r="E21" s="10" t="s">
        <v>308</v>
      </c>
      <c r="F21" s="8">
        <v>45443</v>
      </c>
      <c r="G21" s="10" t="s">
        <v>309</v>
      </c>
      <c r="H21" s="10" t="s">
        <v>244</v>
      </c>
      <c r="I21" s="10" t="s">
        <v>245</v>
      </c>
      <c r="J21" s="4">
        <v>4180806</v>
      </c>
      <c r="K21" s="4">
        <v>0</v>
      </c>
      <c r="L21" s="2">
        <v>0</v>
      </c>
      <c r="M21" s="10" t="s">
        <v>246</v>
      </c>
      <c r="N21" s="10" t="s">
        <v>247</v>
      </c>
      <c r="O21" s="10" t="s">
        <v>247</v>
      </c>
      <c r="P21" s="10" t="s">
        <v>254</v>
      </c>
      <c r="Q21" s="10" t="s">
        <v>249</v>
      </c>
      <c r="R21" s="8">
        <v>45444</v>
      </c>
      <c r="S21" s="14">
        <v>0.24436342592592999</v>
      </c>
      <c r="T21" s="10" t="s">
        <v>255</v>
      </c>
    </row>
    <row r="22" spans="1:20" x14ac:dyDescent="0.2">
      <c r="A22" s="10" t="s">
        <v>238</v>
      </c>
      <c r="B22" s="10" t="s">
        <v>239</v>
      </c>
      <c r="C22" s="10" t="s">
        <v>240</v>
      </c>
      <c r="D22" s="10" t="s">
        <v>310</v>
      </c>
      <c r="E22" s="10" t="s">
        <v>311</v>
      </c>
      <c r="F22" s="8">
        <v>45443</v>
      </c>
      <c r="G22" s="10" t="s">
        <v>312</v>
      </c>
      <c r="H22" s="10" t="s">
        <v>244</v>
      </c>
      <c r="I22" s="10" t="s">
        <v>245</v>
      </c>
      <c r="J22" s="4">
        <v>4221003</v>
      </c>
      <c r="K22" s="4">
        <v>0</v>
      </c>
      <c r="L22" s="2">
        <v>0</v>
      </c>
      <c r="M22" s="10" t="s">
        <v>246</v>
      </c>
      <c r="N22" s="10" t="s">
        <v>247</v>
      </c>
      <c r="O22" s="10" t="s">
        <v>247</v>
      </c>
      <c r="P22" s="10" t="s">
        <v>254</v>
      </c>
      <c r="Q22" s="10" t="s">
        <v>249</v>
      </c>
      <c r="R22" s="8">
        <v>45444</v>
      </c>
      <c r="S22" s="14">
        <v>0.24436342592592999</v>
      </c>
      <c r="T22" s="10" t="s">
        <v>255</v>
      </c>
    </row>
    <row r="23" spans="1:20" x14ac:dyDescent="0.2">
      <c r="A23" s="10" t="s">
        <v>238</v>
      </c>
      <c r="B23" s="10" t="s">
        <v>239</v>
      </c>
      <c r="C23" s="10" t="s">
        <v>240</v>
      </c>
      <c r="D23" s="10" t="s">
        <v>313</v>
      </c>
      <c r="E23" s="10" t="s">
        <v>314</v>
      </c>
      <c r="F23" s="8">
        <v>45443</v>
      </c>
      <c r="G23" s="10" t="s">
        <v>315</v>
      </c>
      <c r="H23" s="10" t="s">
        <v>244</v>
      </c>
      <c r="I23" s="10" t="s">
        <v>245</v>
      </c>
      <c r="J23" s="4">
        <v>15674450</v>
      </c>
      <c r="K23" s="4">
        <v>0</v>
      </c>
      <c r="L23" s="2">
        <v>0</v>
      </c>
      <c r="M23" s="10" t="s">
        <v>246</v>
      </c>
      <c r="N23" s="10" t="s">
        <v>247</v>
      </c>
      <c r="O23" s="10" t="s">
        <v>247</v>
      </c>
      <c r="P23" s="10" t="s">
        <v>254</v>
      </c>
      <c r="Q23" s="10" t="s">
        <v>249</v>
      </c>
      <c r="R23" s="8">
        <v>45444</v>
      </c>
      <c r="S23" s="14">
        <v>0.24436342592592999</v>
      </c>
      <c r="T23" s="10" t="s">
        <v>255</v>
      </c>
    </row>
    <row r="24" spans="1:20" x14ac:dyDescent="0.2">
      <c r="A24" s="10" t="s">
        <v>238</v>
      </c>
      <c r="B24" s="10" t="s">
        <v>239</v>
      </c>
      <c r="C24" s="10" t="s">
        <v>240</v>
      </c>
      <c r="D24" s="10" t="s">
        <v>316</v>
      </c>
      <c r="E24" s="10" t="s">
        <v>317</v>
      </c>
      <c r="F24" s="8">
        <v>45443</v>
      </c>
      <c r="G24" s="10" t="s">
        <v>318</v>
      </c>
      <c r="H24" s="10" t="s">
        <v>244</v>
      </c>
      <c r="I24" s="10" t="s">
        <v>245</v>
      </c>
      <c r="J24" s="4">
        <v>4192803</v>
      </c>
      <c r="K24" s="4">
        <v>0</v>
      </c>
      <c r="L24" s="2">
        <v>0</v>
      </c>
      <c r="M24" s="10" t="s">
        <v>246</v>
      </c>
      <c r="N24" s="10" t="s">
        <v>247</v>
      </c>
      <c r="O24" s="10" t="s">
        <v>247</v>
      </c>
      <c r="P24" s="10" t="s">
        <v>254</v>
      </c>
      <c r="Q24" s="10" t="s">
        <v>249</v>
      </c>
      <c r="R24" s="8">
        <v>45444</v>
      </c>
      <c r="S24" s="14">
        <v>0.24436342592592999</v>
      </c>
      <c r="T24" s="10" t="s">
        <v>255</v>
      </c>
    </row>
    <row r="25" spans="1:20" x14ac:dyDescent="0.2">
      <c r="A25" s="10" t="s">
        <v>238</v>
      </c>
      <c r="B25" s="10" t="s">
        <v>239</v>
      </c>
      <c r="C25" s="10" t="s">
        <v>240</v>
      </c>
      <c r="D25" s="10" t="s">
        <v>319</v>
      </c>
      <c r="E25" s="10" t="s">
        <v>320</v>
      </c>
      <c r="F25" s="8">
        <v>45443</v>
      </c>
      <c r="G25" s="10" t="s">
        <v>321</v>
      </c>
      <c r="H25" s="10" t="s">
        <v>244</v>
      </c>
      <c r="I25" s="10" t="s">
        <v>245</v>
      </c>
      <c r="J25" s="4">
        <v>15954858</v>
      </c>
      <c r="K25" s="4">
        <v>0</v>
      </c>
      <c r="L25" s="2">
        <v>0</v>
      </c>
      <c r="M25" s="10" t="s">
        <v>246</v>
      </c>
      <c r="N25" s="10" t="s">
        <v>247</v>
      </c>
      <c r="O25" s="10" t="s">
        <v>247</v>
      </c>
      <c r="P25" s="10" t="s">
        <v>254</v>
      </c>
      <c r="Q25" s="10" t="s">
        <v>249</v>
      </c>
      <c r="R25" s="8">
        <v>45444</v>
      </c>
      <c r="S25" s="14">
        <v>0.24436342592592999</v>
      </c>
      <c r="T25" s="10" t="s">
        <v>255</v>
      </c>
    </row>
    <row r="26" spans="1:20" x14ac:dyDescent="0.2">
      <c r="A26" s="10" t="s">
        <v>238</v>
      </c>
      <c r="B26" s="10" t="s">
        <v>239</v>
      </c>
      <c r="C26" s="10" t="s">
        <v>240</v>
      </c>
      <c r="D26" s="10" t="s">
        <v>322</v>
      </c>
      <c r="E26" s="10" t="s">
        <v>323</v>
      </c>
      <c r="F26" s="8">
        <v>45443</v>
      </c>
      <c r="G26" s="10" t="s">
        <v>324</v>
      </c>
      <c r="H26" s="10" t="s">
        <v>244</v>
      </c>
      <c r="I26" s="10" t="s">
        <v>245</v>
      </c>
      <c r="J26" s="4">
        <v>6551512</v>
      </c>
      <c r="K26" s="4">
        <v>0</v>
      </c>
      <c r="L26" s="2">
        <v>0</v>
      </c>
      <c r="M26" s="10" t="s">
        <v>246</v>
      </c>
      <c r="N26" s="10" t="s">
        <v>247</v>
      </c>
      <c r="O26" s="10" t="s">
        <v>247</v>
      </c>
      <c r="P26" s="10" t="s">
        <v>254</v>
      </c>
      <c r="Q26" s="10" t="s">
        <v>249</v>
      </c>
      <c r="R26" s="8">
        <v>45444</v>
      </c>
      <c r="S26" s="14">
        <v>0.24436342592592999</v>
      </c>
      <c r="T26" s="10" t="s">
        <v>255</v>
      </c>
    </row>
    <row r="27" spans="1:20" x14ac:dyDescent="0.2">
      <c r="A27" s="10" t="s">
        <v>238</v>
      </c>
      <c r="B27" s="10" t="s">
        <v>239</v>
      </c>
      <c r="C27" s="10" t="s">
        <v>240</v>
      </c>
      <c r="D27" s="10" t="s">
        <v>325</v>
      </c>
      <c r="E27" s="10" t="s">
        <v>326</v>
      </c>
      <c r="F27" s="8">
        <v>45443</v>
      </c>
      <c r="G27" s="10" t="s">
        <v>327</v>
      </c>
      <c r="H27" s="10" t="s">
        <v>244</v>
      </c>
      <c r="I27" s="10" t="s">
        <v>245</v>
      </c>
      <c r="J27" s="6">
        <v>-2796532</v>
      </c>
      <c r="K27" s="4">
        <v>0</v>
      </c>
      <c r="L27" s="2">
        <v>0</v>
      </c>
      <c r="M27" s="10" t="s">
        <v>246</v>
      </c>
      <c r="N27" s="10" t="s">
        <v>247</v>
      </c>
      <c r="O27" s="10" t="s">
        <v>247</v>
      </c>
      <c r="P27" s="10" t="s">
        <v>328</v>
      </c>
      <c r="Q27" s="10" t="s">
        <v>249</v>
      </c>
      <c r="R27" s="8">
        <v>45444</v>
      </c>
      <c r="S27" s="14">
        <v>0.1893287037037</v>
      </c>
      <c r="T27" s="10" t="s">
        <v>329</v>
      </c>
    </row>
    <row r="28" spans="1:20" x14ac:dyDescent="0.2">
      <c r="A28" s="10" t="s">
        <v>238</v>
      </c>
      <c r="B28" s="10" t="s">
        <v>239</v>
      </c>
      <c r="C28" s="10" t="s">
        <v>240</v>
      </c>
      <c r="D28" s="10" t="s">
        <v>330</v>
      </c>
      <c r="E28" s="10" t="s">
        <v>331</v>
      </c>
      <c r="F28" s="8">
        <v>45443</v>
      </c>
      <c r="G28" s="10" t="s">
        <v>332</v>
      </c>
      <c r="H28" s="10" t="s">
        <v>244</v>
      </c>
      <c r="I28" s="10" t="s">
        <v>245</v>
      </c>
      <c r="J28" s="4">
        <v>437827</v>
      </c>
      <c r="K28" s="4">
        <v>0</v>
      </c>
      <c r="L28" s="2">
        <v>0</v>
      </c>
      <c r="M28" s="10" t="s">
        <v>246</v>
      </c>
      <c r="N28" s="10" t="s">
        <v>247</v>
      </c>
      <c r="O28" s="10" t="s">
        <v>247</v>
      </c>
      <c r="P28" s="10" t="s">
        <v>328</v>
      </c>
      <c r="Q28" s="10" t="s">
        <v>249</v>
      </c>
      <c r="R28" s="8">
        <v>45444</v>
      </c>
      <c r="S28" s="14">
        <v>0.1893287037037</v>
      </c>
      <c r="T28" s="10" t="s">
        <v>329</v>
      </c>
    </row>
    <row r="29" spans="1:20" x14ac:dyDescent="0.2">
      <c r="A29" s="10" t="s">
        <v>238</v>
      </c>
      <c r="B29" s="10" t="s">
        <v>239</v>
      </c>
      <c r="C29" s="10" t="s">
        <v>240</v>
      </c>
      <c r="D29" s="10" t="s">
        <v>333</v>
      </c>
      <c r="E29" s="10" t="s">
        <v>334</v>
      </c>
      <c r="F29" s="8">
        <v>45443</v>
      </c>
      <c r="G29" s="10" t="s">
        <v>335</v>
      </c>
      <c r="H29" s="10" t="s">
        <v>244</v>
      </c>
      <c r="I29" s="10" t="s">
        <v>245</v>
      </c>
      <c r="J29" s="4">
        <v>1970531</v>
      </c>
      <c r="K29" s="4">
        <v>0</v>
      </c>
      <c r="L29" s="2">
        <v>0</v>
      </c>
      <c r="M29" s="10" t="s">
        <v>246</v>
      </c>
      <c r="N29" s="10" t="s">
        <v>247</v>
      </c>
      <c r="O29" s="10" t="s">
        <v>247</v>
      </c>
      <c r="P29" s="10" t="s">
        <v>328</v>
      </c>
      <c r="Q29" s="10" t="s">
        <v>249</v>
      </c>
      <c r="R29" s="8">
        <v>45444</v>
      </c>
      <c r="S29" s="14">
        <v>0.19111111111111001</v>
      </c>
      <c r="T29" s="10" t="s">
        <v>329</v>
      </c>
    </row>
    <row r="30" spans="1:20" x14ac:dyDescent="0.2">
      <c r="A30" s="10" t="s">
        <v>238</v>
      </c>
      <c r="B30" s="10" t="s">
        <v>239</v>
      </c>
      <c r="C30" s="10" t="s">
        <v>240</v>
      </c>
      <c r="D30" s="10" t="s">
        <v>336</v>
      </c>
      <c r="E30" s="10" t="s">
        <v>337</v>
      </c>
      <c r="F30" s="8">
        <v>45443</v>
      </c>
      <c r="G30" s="10" t="s">
        <v>338</v>
      </c>
      <c r="H30" s="10" t="s">
        <v>244</v>
      </c>
      <c r="I30" s="10" t="s">
        <v>245</v>
      </c>
      <c r="J30" s="4">
        <v>6750238</v>
      </c>
      <c r="K30" s="4">
        <v>0</v>
      </c>
      <c r="L30" s="2">
        <v>0</v>
      </c>
      <c r="M30" s="10" t="s">
        <v>246</v>
      </c>
      <c r="N30" s="10" t="s">
        <v>247</v>
      </c>
      <c r="O30" s="10" t="s">
        <v>247</v>
      </c>
      <c r="P30" s="10" t="s">
        <v>328</v>
      </c>
      <c r="Q30" s="10" t="s">
        <v>249</v>
      </c>
      <c r="R30" s="8">
        <v>45444</v>
      </c>
      <c r="S30" s="14">
        <v>0.19111111111111001</v>
      </c>
      <c r="T30" s="10" t="s">
        <v>329</v>
      </c>
    </row>
    <row r="31" spans="1:20" x14ac:dyDescent="0.2">
      <c r="A31" s="10" t="s">
        <v>238</v>
      </c>
      <c r="B31" s="10" t="s">
        <v>239</v>
      </c>
      <c r="C31" s="10" t="s">
        <v>240</v>
      </c>
      <c r="D31" s="10" t="s">
        <v>339</v>
      </c>
      <c r="E31" s="10" t="s">
        <v>340</v>
      </c>
      <c r="F31" s="8">
        <v>45443</v>
      </c>
      <c r="G31" s="10" t="s">
        <v>341</v>
      </c>
      <c r="H31" s="10" t="s">
        <v>244</v>
      </c>
      <c r="I31" s="10" t="s">
        <v>245</v>
      </c>
      <c r="J31" s="4">
        <v>7379673</v>
      </c>
      <c r="K31" s="4">
        <v>0</v>
      </c>
      <c r="L31" s="2">
        <v>0</v>
      </c>
      <c r="M31" s="10" t="s">
        <v>246</v>
      </c>
      <c r="N31" s="10" t="s">
        <v>247</v>
      </c>
      <c r="O31" s="10" t="s">
        <v>247</v>
      </c>
      <c r="P31" s="10" t="s">
        <v>328</v>
      </c>
      <c r="Q31" s="10" t="s">
        <v>249</v>
      </c>
      <c r="R31" s="8">
        <v>45444</v>
      </c>
      <c r="S31" s="14">
        <v>0.19111111111111001</v>
      </c>
      <c r="T31" s="10" t="s">
        <v>329</v>
      </c>
    </row>
    <row r="32" spans="1:20" x14ac:dyDescent="0.2">
      <c r="A32" s="10" t="s">
        <v>238</v>
      </c>
      <c r="B32" s="10" t="s">
        <v>239</v>
      </c>
      <c r="C32" s="10" t="s">
        <v>240</v>
      </c>
      <c r="D32" s="10" t="s">
        <v>342</v>
      </c>
      <c r="E32" s="10" t="s">
        <v>343</v>
      </c>
      <c r="F32" s="8">
        <v>45443</v>
      </c>
      <c r="G32" s="10" t="s">
        <v>344</v>
      </c>
      <c r="H32" s="10" t="s">
        <v>244</v>
      </c>
      <c r="I32" s="10" t="s">
        <v>245</v>
      </c>
      <c r="J32" s="4">
        <v>10811749</v>
      </c>
      <c r="K32" s="4">
        <v>0</v>
      </c>
      <c r="L32" s="2">
        <v>0</v>
      </c>
      <c r="M32" s="10" t="s">
        <v>246</v>
      </c>
      <c r="N32" s="10" t="s">
        <v>247</v>
      </c>
      <c r="O32" s="10" t="s">
        <v>247</v>
      </c>
      <c r="P32" s="10" t="s">
        <v>328</v>
      </c>
      <c r="Q32" s="10" t="s">
        <v>249</v>
      </c>
      <c r="R32" s="8">
        <v>45444</v>
      </c>
      <c r="S32" s="14">
        <v>0.19111111111111001</v>
      </c>
      <c r="T32" s="10" t="s">
        <v>329</v>
      </c>
    </row>
    <row r="33" spans="1:20" x14ac:dyDescent="0.2">
      <c r="A33" s="10" t="s">
        <v>238</v>
      </c>
      <c r="B33" s="10" t="s">
        <v>239</v>
      </c>
      <c r="C33" s="10" t="s">
        <v>240</v>
      </c>
      <c r="D33" s="10" t="s">
        <v>345</v>
      </c>
      <c r="E33" s="10" t="s">
        <v>346</v>
      </c>
      <c r="F33" s="8">
        <v>45443</v>
      </c>
      <c r="G33" s="10" t="s">
        <v>347</v>
      </c>
      <c r="H33" s="10" t="s">
        <v>244</v>
      </c>
      <c r="I33" s="10" t="s">
        <v>245</v>
      </c>
      <c r="J33" s="4">
        <v>3097524</v>
      </c>
      <c r="K33" s="4">
        <v>0</v>
      </c>
      <c r="L33" s="2">
        <v>0</v>
      </c>
      <c r="M33" s="10" t="s">
        <v>246</v>
      </c>
      <c r="N33" s="10" t="s">
        <v>247</v>
      </c>
      <c r="O33" s="10" t="s">
        <v>247</v>
      </c>
      <c r="P33" s="10" t="s">
        <v>328</v>
      </c>
      <c r="Q33" s="10" t="s">
        <v>249</v>
      </c>
      <c r="R33" s="8">
        <v>45444</v>
      </c>
      <c r="S33" s="14">
        <v>0.19111111111111001</v>
      </c>
      <c r="T33" s="10" t="s">
        <v>329</v>
      </c>
    </row>
    <row r="34" spans="1:20" x14ac:dyDescent="0.2">
      <c r="A34" s="10" t="s">
        <v>238</v>
      </c>
      <c r="B34" s="10" t="s">
        <v>239</v>
      </c>
      <c r="C34" s="10" t="s">
        <v>240</v>
      </c>
      <c r="D34" s="10" t="s">
        <v>348</v>
      </c>
      <c r="E34" s="10" t="s">
        <v>349</v>
      </c>
      <c r="F34" s="8">
        <v>45443</v>
      </c>
      <c r="G34" s="10" t="s">
        <v>350</v>
      </c>
      <c r="H34" s="10" t="s">
        <v>244</v>
      </c>
      <c r="I34" s="10" t="s">
        <v>245</v>
      </c>
      <c r="J34" s="6">
        <v>-401363</v>
      </c>
      <c r="K34" s="4">
        <v>0</v>
      </c>
      <c r="L34" s="2">
        <v>0</v>
      </c>
      <c r="M34" s="10" t="s">
        <v>246</v>
      </c>
      <c r="N34" s="10" t="s">
        <v>247</v>
      </c>
      <c r="O34" s="10" t="s">
        <v>247</v>
      </c>
      <c r="P34" s="10" t="s">
        <v>328</v>
      </c>
      <c r="Q34" s="10" t="s">
        <v>249</v>
      </c>
      <c r="R34" s="8">
        <v>45444</v>
      </c>
      <c r="S34" s="14">
        <v>0.19111111111111001</v>
      </c>
      <c r="T34" s="10" t="s">
        <v>329</v>
      </c>
    </row>
    <row r="35" spans="1:20" x14ac:dyDescent="0.2">
      <c r="A35" s="10" t="s">
        <v>238</v>
      </c>
      <c r="B35" s="10" t="s">
        <v>239</v>
      </c>
      <c r="C35" s="10" t="s">
        <v>240</v>
      </c>
      <c r="D35" s="10" t="s">
        <v>351</v>
      </c>
      <c r="E35" s="10" t="s">
        <v>352</v>
      </c>
      <c r="F35" s="8">
        <v>45443</v>
      </c>
      <c r="G35" s="10" t="s">
        <v>353</v>
      </c>
      <c r="H35" s="10" t="s">
        <v>244</v>
      </c>
      <c r="I35" s="10" t="s">
        <v>245</v>
      </c>
      <c r="J35" s="4">
        <v>6878078</v>
      </c>
      <c r="K35" s="4">
        <v>0</v>
      </c>
      <c r="L35" s="2">
        <v>0</v>
      </c>
      <c r="M35" s="10" t="s">
        <v>246</v>
      </c>
      <c r="N35" s="10" t="s">
        <v>247</v>
      </c>
      <c r="O35" s="10" t="s">
        <v>247</v>
      </c>
      <c r="P35" s="10" t="s">
        <v>328</v>
      </c>
      <c r="Q35" s="10" t="s">
        <v>249</v>
      </c>
      <c r="R35" s="8">
        <v>45444</v>
      </c>
      <c r="S35" s="14">
        <v>0.19111111111111001</v>
      </c>
      <c r="T35" s="10" t="s">
        <v>329</v>
      </c>
    </row>
    <row r="36" spans="1:20" x14ac:dyDescent="0.2">
      <c r="A36" s="10" t="s">
        <v>238</v>
      </c>
      <c r="B36" s="10" t="s">
        <v>239</v>
      </c>
      <c r="C36" s="10" t="s">
        <v>240</v>
      </c>
      <c r="D36" s="10" t="s">
        <v>354</v>
      </c>
      <c r="E36" s="10" t="s">
        <v>355</v>
      </c>
      <c r="F36" s="8">
        <v>45443</v>
      </c>
      <c r="G36" s="10" t="s">
        <v>356</v>
      </c>
      <c r="H36" s="10" t="s">
        <v>244</v>
      </c>
      <c r="I36" s="10" t="s">
        <v>245</v>
      </c>
      <c r="J36" s="4">
        <v>1919429</v>
      </c>
      <c r="K36" s="4">
        <v>0</v>
      </c>
      <c r="L36" s="2">
        <v>0</v>
      </c>
      <c r="M36" s="10" t="s">
        <v>246</v>
      </c>
      <c r="N36" s="10" t="s">
        <v>247</v>
      </c>
      <c r="O36" s="10" t="s">
        <v>247</v>
      </c>
      <c r="P36" s="10" t="s">
        <v>328</v>
      </c>
      <c r="Q36" s="10" t="s">
        <v>249</v>
      </c>
      <c r="R36" s="8">
        <v>45444</v>
      </c>
      <c r="S36" s="14">
        <v>0.19111111111111001</v>
      </c>
      <c r="T36" s="10" t="s">
        <v>329</v>
      </c>
    </row>
    <row r="37" spans="1:20" x14ac:dyDescent="0.2">
      <c r="A37" s="10" t="s">
        <v>238</v>
      </c>
      <c r="B37" s="10" t="s">
        <v>239</v>
      </c>
      <c r="C37" s="10" t="s">
        <v>240</v>
      </c>
      <c r="D37" s="10" t="s">
        <v>357</v>
      </c>
      <c r="E37" s="10" t="s">
        <v>358</v>
      </c>
      <c r="F37" s="8">
        <v>45443</v>
      </c>
      <c r="G37" s="10" t="s">
        <v>359</v>
      </c>
      <c r="H37" s="10" t="s">
        <v>244</v>
      </c>
      <c r="I37" s="10" t="s">
        <v>245</v>
      </c>
      <c r="J37" s="6">
        <v>-167418</v>
      </c>
      <c r="K37" s="4">
        <v>0</v>
      </c>
      <c r="L37" s="2">
        <v>0</v>
      </c>
      <c r="M37" s="10" t="s">
        <v>246</v>
      </c>
      <c r="N37" s="10" t="s">
        <v>247</v>
      </c>
      <c r="O37" s="10" t="s">
        <v>247</v>
      </c>
      <c r="P37" s="10" t="s">
        <v>328</v>
      </c>
      <c r="Q37" s="10" t="s">
        <v>249</v>
      </c>
      <c r="R37" s="8">
        <v>45444</v>
      </c>
      <c r="S37" s="14">
        <v>0.19111111111111001</v>
      </c>
      <c r="T37" s="10" t="s">
        <v>329</v>
      </c>
    </row>
    <row r="38" spans="1:20" x14ac:dyDescent="0.2">
      <c r="A38" s="10" t="s">
        <v>238</v>
      </c>
      <c r="B38" s="10" t="s">
        <v>239</v>
      </c>
      <c r="C38" s="10" t="s">
        <v>240</v>
      </c>
      <c r="D38" s="10" t="s">
        <v>360</v>
      </c>
      <c r="E38" s="10" t="s">
        <v>361</v>
      </c>
      <c r="F38" s="8">
        <v>45443</v>
      </c>
      <c r="G38" s="10" t="s">
        <v>362</v>
      </c>
      <c r="H38" s="10" t="s">
        <v>244</v>
      </c>
      <c r="I38" s="10" t="s">
        <v>245</v>
      </c>
      <c r="J38" s="4">
        <v>423406</v>
      </c>
      <c r="K38" s="4">
        <v>0</v>
      </c>
      <c r="L38" s="2">
        <v>0</v>
      </c>
      <c r="M38" s="10" t="s">
        <v>246</v>
      </c>
      <c r="N38" s="10" t="s">
        <v>247</v>
      </c>
      <c r="O38" s="10" t="s">
        <v>247</v>
      </c>
      <c r="P38" s="10" t="s">
        <v>328</v>
      </c>
      <c r="Q38" s="10" t="s">
        <v>249</v>
      </c>
      <c r="R38" s="8">
        <v>45444</v>
      </c>
      <c r="S38" s="14">
        <v>0.19111111111111001</v>
      </c>
      <c r="T38" s="10" t="s">
        <v>329</v>
      </c>
    </row>
    <row r="39" spans="1:20" x14ac:dyDescent="0.2">
      <c r="A39" s="10" t="s">
        <v>238</v>
      </c>
      <c r="B39" s="10" t="s">
        <v>239</v>
      </c>
      <c r="C39" s="10" t="s">
        <v>240</v>
      </c>
      <c r="D39" s="10" t="s">
        <v>363</v>
      </c>
      <c r="E39" s="10" t="s">
        <v>364</v>
      </c>
      <c r="F39" s="8">
        <v>45443</v>
      </c>
      <c r="G39" s="10" t="s">
        <v>365</v>
      </c>
      <c r="H39" s="10" t="s">
        <v>244</v>
      </c>
      <c r="I39" s="10" t="s">
        <v>245</v>
      </c>
      <c r="J39" s="4">
        <v>334259</v>
      </c>
      <c r="K39" s="4">
        <v>0</v>
      </c>
      <c r="L39" s="2">
        <v>0</v>
      </c>
      <c r="M39" s="10" t="s">
        <v>246</v>
      </c>
      <c r="N39" s="10" t="s">
        <v>247</v>
      </c>
      <c r="O39" s="10" t="s">
        <v>247</v>
      </c>
      <c r="P39" s="10" t="s">
        <v>328</v>
      </c>
      <c r="Q39" s="10" t="s">
        <v>249</v>
      </c>
      <c r="R39" s="8">
        <v>45444</v>
      </c>
      <c r="S39" s="14">
        <v>0.19111111111111001</v>
      </c>
      <c r="T39" s="10" t="s">
        <v>329</v>
      </c>
    </row>
    <row r="40" spans="1:20" x14ac:dyDescent="0.2">
      <c r="A40" s="10" t="s">
        <v>238</v>
      </c>
      <c r="B40" s="10" t="s">
        <v>239</v>
      </c>
      <c r="C40" s="10" t="s">
        <v>240</v>
      </c>
      <c r="D40" s="10" t="s">
        <v>366</v>
      </c>
      <c r="E40" s="10" t="s">
        <v>367</v>
      </c>
      <c r="F40" s="8">
        <v>45443</v>
      </c>
      <c r="G40" s="10" t="s">
        <v>368</v>
      </c>
      <c r="H40" s="10" t="s">
        <v>244</v>
      </c>
      <c r="I40" s="10" t="s">
        <v>245</v>
      </c>
      <c r="J40" s="4">
        <v>8522266</v>
      </c>
      <c r="K40" s="4">
        <v>0</v>
      </c>
      <c r="L40" s="2">
        <v>0</v>
      </c>
      <c r="M40" s="10" t="s">
        <v>246</v>
      </c>
      <c r="N40" s="10" t="s">
        <v>247</v>
      </c>
      <c r="O40" s="10" t="s">
        <v>247</v>
      </c>
      <c r="P40" s="10" t="s">
        <v>328</v>
      </c>
      <c r="Q40" s="10" t="s">
        <v>249</v>
      </c>
      <c r="R40" s="8">
        <v>45444</v>
      </c>
      <c r="S40" s="14">
        <v>0.19343750000000001</v>
      </c>
      <c r="T40" s="10" t="s">
        <v>329</v>
      </c>
    </row>
    <row r="41" spans="1:20" x14ac:dyDescent="0.2">
      <c r="A41" s="10" t="s">
        <v>238</v>
      </c>
      <c r="B41" s="10" t="s">
        <v>239</v>
      </c>
      <c r="C41" s="10" t="s">
        <v>240</v>
      </c>
      <c r="D41" s="10" t="s">
        <v>369</v>
      </c>
      <c r="E41" s="10" t="s">
        <v>370</v>
      </c>
      <c r="F41" s="8">
        <v>45443</v>
      </c>
      <c r="G41" s="10" t="s">
        <v>371</v>
      </c>
      <c r="H41" s="10" t="s">
        <v>244</v>
      </c>
      <c r="I41" s="10" t="s">
        <v>245</v>
      </c>
      <c r="J41" s="4">
        <v>3754731</v>
      </c>
      <c r="K41" s="4">
        <v>0</v>
      </c>
      <c r="L41" s="2">
        <v>0</v>
      </c>
      <c r="M41" s="10" t="s">
        <v>246</v>
      </c>
      <c r="N41" s="10" t="s">
        <v>247</v>
      </c>
      <c r="O41" s="10" t="s">
        <v>247</v>
      </c>
      <c r="P41" s="10" t="s">
        <v>328</v>
      </c>
      <c r="Q41" s="10" t="s">
        <v>249</v>
      </c>
      <c r="R41" s="8">
        <v>45444</v>
      </c>
      <c r="S41" s="14">
        <v>0.19343750000000001</v>
      </c>
      <c r="T41" s="10" t="s">
        <v>329</v>
      </c>
    </row>
    <row r="42" spans="1:20" x14ac:dyDescent="0.2">
      <c r="A42" s="10" t="s">
        <v>238</v>
      </c>
      <c r="B42" s="10" t="s">
        <v>239</v>
      </c>
      <c r="C42" s="10" t="s">
        <v>240</v>
      </c>
      <c r="D42" s="10" t="s">
        <v>372</v>
      </c>
      <c r="E42" s="10" t="s">
        <v>373</v>
      </c>
      <c r="F42" s="8">
        <v>45443</v>
      </c>
      <c r="G42" s="10" t="s">
        <v>374</v>
      </c>
      <c r="H42" s="10" t="s">
        <v>244</v>
      </c>
      <c r="I42" s="10" t="s">
        <v>245</v>
      </c>
      <c r="J42" s="4">
        <v>4105810</v>
      </c>
      <c r="K42" s="4">
        <v>0</v>
      </c>
      <c r="L42" s="2">
        <v>0</v>
      </c>
      <c r="M42" s="10" t="s">
        <v>246</v>
      </c>
      <c r="N42" s="10" t="s">
        <v>247</v>
      </c>
      <c r="O42" s="10" t="s">
        <v>247</v>
      </c>
      <c r="P42" s="10" t="s">
        <v>328</v>
      </c>
      <c r="Q42" s="10" t="s">
        <v>249</v>
      </c>
      <c r="R42" s="8">
        <v>45444</v>
      </c>
      <c r="S42" s="14">
        <v>0.19343750000000001</v>
      </c>
      <c r="T42" s="10" t="s">
        <v>329</v>
      </c>
    </row>
    <row r="43" spans="1:20" x14ac:dyDescent="0.2">
      <c r="A43" s="10" t="s">
        <v>238</v>
      </c>
      <c r="B43" s="10" t="s">
        <v>239</v>
      </c>
      <c r="C43" s="10" t="s">
        <v>240</v>
      </c>
      <c r="D43" s="10" t="s">
        <v>375</v>
      </c>
      <c r="E43" s="10" t="s">
        <v>376</v>
      </c>
      <c r="F43" s="8">
        <v>45443</v>
      </c>
      <c r="G43" s="10" t="s">
        <v>377</v>
      </c>
      <c r="H43" s="10" t="s">
        <v>244</v>
      </c>
      <c r="I43" s="10" t="s">
        <v>245</v>
      </c>
      <c r="J43" s="4">
        <v>33030510</v>
      </c>
      <c r="K43" s="4">
        <v>0</v>
      </c>
      <c r="L43" s="2">
        <v>0</v>
      </c>
      <c r="M43" s="10" t="s">
        <v>246</v>
      </c>
      <c r="N43" s="10" t="s">
        <v>247</v>
      </c>
      <c r="O43" s="10" t="s">
        <v>247</v>
      </c>
      <c r="P43" s="10" t="s">
        <v>328</v>
      </c>
      <c r="Q43" s="10" t="s">
        <v>249</v>
      </c>
      <c r="R43" s="8">
        <v>45444</v>
      </c>
      <c r="S43" s="14">
        <v>0.19670138888888999</v>
      </c>
      <c r="T43" s="10" t="s">
        <v>378</v>
      </c>
    </row>
    <row r="44" spans="1:20" x14ac:dyDescent="0.2">
      <c r="A44" s="10" t="s">
        <v>238</v>
      </c>
      <c r="B44" s="10" t="s">
        <v>239</v>
      </c>
      <c r="C44" s="10" t="s">
        <v>240</v>
      </c>
      <c r="D44" s="10" t="s">
        <v>379</v>
      </c>
      <c r="E44" s="10" t="s">
        <v>380</v>
      </c>
      <c r="F44" s="8">
        <v>45443</v>
      </c>
      <c r="G44" s="10" t="s">
        <v>381</v>
      </c>
      <c r="H44" s="10" t="s">
        <v>244</v>
      </c>
      <c r="I44" s="10" t="s">
        <v>245</v>
      </c>
      <c r="J44" s="4">
        <v>14527439</v>
      </c>
      <c r="K44" s="4">
        <v>0</v>
      </c>
      <c r="L44" s="2">
        <v>0</v>
      </c>
      <c r="M44" s="10" t="s">
        <v>246</v>
      </c>
      <c r="N44" s="10" t="s">
        <v>247</v>
      </c>
      <c r="O44" s="10" t="s">
        <v>247</v>
      </c>
      <c r="P44" s="10" t="s">
        <v>328</v>
      </c>
      <c r="Q44" s="10" t="s">
        <v>249</v>
      </c>
      <c r="R44" s="8">
        <v>45444</v>
      </c>
      <c r="S44" s="14">
        <v>0.19670138888888999</v>
      </c>
      <c r="T44" s="10" t="s">
        <v>378</v>
      </c>
    </row>
    <row r="45" spans="1:20" x14ac:dyDescent="0.2">
      <c r="A45" s="10" t="s">
        <v>238</v>
      </c>
      <c r="B45" s="10" t="s">
        <v>239</v>
      </c>
      <c r="C45" s="10" t="s">
        <v>240</v>
      </c>
      <c r="D45" s="10" t="s">
        <v>382</v>
      </c>
      <c r="E45" s="10" t="s">
        <v>383</v>
      </c>
      <c r="F45" s="8">
        <v>45443</v>
      </c>
      <c r="G45" s="10" t="s">
        <v>384</v>
      </c>
      <c r="H45" s="10" t="s">
        <v>244</v>
      </c>
      <c r="I45" s="10" t="s">
        <v>245</v>
      </c>
      <c r="J45" s="4">
        <v>6701574</v>
      </c>
      <c r="K45" s="4">
        <v>0</v>
      </c>
      <c r="L45" s="2">
        <v>0</v>
      </c>
      <c r="M45" s="10" t="s">
        <v>246</v>
      </c>
      <c r="N45" s="10" t="s">
        <v>247</v>
      </c>
      <c r="O45" s="10" t="s">
        <v>247</v>
      </c>
      <c r="P45" s="10" t="s">
        <v>328</v>
      </c>
      <c r="Q45" s="10" t="s">
        <v>249</v>
      </c>
      <c r="R45" s="8">
        <v>45444</v>
      </c>
      <c r="S45" s="14">
        <v>0.19918981481480999</v>
      </c>
      <c r="T45" s="10" t="s">
        <v>378</v>
      </c>
    </row>
    <row r="46" spans="1:20" x14ac:dyDescent="0.2">
      <c r="A46" s="10" t="s">
        <v>238</v>
      </c>
      <c r="B46" s="10" t="s">
        <v>239</v>
      </c>
      <c r="C46" s="10" t="s">
        <v>240</v>
      </c>
      <c r="D46" s="10" t="s">
        <v>385</v>
      </c>
      <c r="E46" s="10" t="s">
        <v>386</v>
      </c>
      <c r="F46" s="8">
        <v>45443</v>
      </c>
      <c r="G46" s="10" t="s">
        <v>387</v>
      </c>
      <c r="H46" s="10" t="s">
        <v>244</v>
      </c>
      <c r="I46" s="10" t="s">
        <v>245</v>
      </c>
      <c r="J46" s="4">
        <v>1737327</v>
      </c>
      <c r="K46" s="4">
        <v>0</v>
      </c>
      <c r="L46" s="2">
        <v>0</v>
      </c>
      <c r="M46" s="10" t="s">
        <v>246</v>
      </c>
      <c r="N46" s="10" t="s">
        <v>247</v>
      </c>
      <c r="O46" s="10" t="s">
        <v>247</v>
      </c>
      <c r="P46" s="10" t="s">
        <v>328</v>
      </c>
      <c r="Q46" s="10" t="s">
        <v>249</v>
      </c>
      <c r="R46" s="8">
        <v>45444</v>
      </c>
      <c r="S46" s="14">
        <v>0.20008101851852</v>
      </c>
      <c r="T46" s="10" t="s">
        <v>388</v>
      </c>
    </row>
    <row r="47" spans="1:20" x14ac:dyDescent="0.2">
      <c r="A47" s="10" t="s">
        <v>238</v>
      </c>
      <c r="B47" s="10" t="s">
        <v>239</v>
      </c>
      <c r="C47" s="10" t="s">
        <v>240</v>
      </c>
      <c r="D47" s="10" t="s">
        <v>389</v>
      </c>
      <c r="E47" s="10" t="s">
        <v>390</v>
      </c>
      <c r="F47" s="8">
        <v>45443</v>
      </c>
      <c r="G47" s="10" t="s">
        <v>391</v>
      </c>
      <c r="H47" s="10" t="s">
        <v>244</v>
      </c>
      <c r="I47" s="10" t="s">
        <v>245</v>
      </c>
      <c r="J47" s="4">
        <v>428079</v>
      </c>
      <c r="K47" s="4">
        <v>0</v>
      </c>
      <c r="L47" s="2">
        <v>0</v>
      </c>
      <c r="M47" s="10" t="s">
        <v>246</v>
      </c>
      <c r="N47" s="10" t="s">
        <v>247</v>
      </c>
      <c r="O47" s="10" t="s">
        <v>247</v>
      </c>
      <c r="P47" s="10" t="s">
        <v>328</v>
      </c>
      <c r="Q47" s="10" t="s">
        <v>249</v>
      </c>
      <c r="R47" s="8">
        <v>45444</v>
      </c>
      <c r="S47" s="14">
        <v>0.20008101851852</v>
      </c>
      <c r="T47" s="10" t="s">
        <v>388</v>
      </c>
    </row>
    <row r="48" spans="1:20" x14ac:dyDescent="0.2">
      <c r="A48" s="10" t="s">
        <v>238</v>
      </c>
      <c r="B48" s="10" t="s">
        <v>239</v>
      </c>
      <c r="C48" s="10" t="s">
        <v>240</v>
      </c>
      <c r="D48" s="10" t="s">
        <v>392</v>
      </c>
      <c r="E48" s="10" t="s">
        <v>393</v>
      </c>
      <c r="F48" s="8">
        <v>45443</v>
      </c>
      <c r="G48" s="10" t="s">
        <v>394</v>
      </c>
      <c r="H48" s="10" t="s">
        <v>244</v>
      </c>
      <c r="I48" s="10" t="s">
        <v>245</v>
      </c>
      <c r="J48" s="4">
        <v>727688</v>
      </c>
      <c r="K48" s="4">
        <v>0</v>
      </c>
      <c r="L48" s="2">
        <v>0</v>
      </c>
      <c r="M48" s="10" t="s">
        <v>246</v>
      </c>
      <c r="N48" s="10" t="s">
        <v>247</v>
      </c>
      <c r="O48" s="10" t="s">
        <v>247</v>
      </c>
      <c r="P48" s="10" t="s">
        <v>328</v>
      </c>
      <c r="Q48" s="10" t="s">
        <v>249</v>
      </c>
      <c r="R48" s="8">
        <v>45444</v>
      </c>
      <c r="S48" s="14">
        <v>0.20008101851852</v>
      </c>
      <c r="T48" s="10" t="s">
        <v>388</v>
      </c>
    </row>
    <row r="49" spans="1:20" x14ac:dyDescent="0.2">
      <c r="A49" s="10" t="s">
        <v>238</v>
      </c>
      <c r="B49" s="10" t="s">
        <v>239</v>
      </c>
      <c r="C49" s="10" t="s">
        <v>240</v>
      </c>
      <c r="D49" s="10" t="s">
        <v>395</v>
      </c>
      <c r="E49" s="10" t="s">
        <v>396</v>
      </c>
      <c r="F49" s="8">
        <v>45443</v>
      </c>
      <c r="G49" s="10" t="s">
        <v>397</v>
      </c>
      <c r="H49" s="10" t="s">
        <v>244</v>
      </c>
      <c r="I49" s="10" t="s">
        <v>245</v>
      </c>
      <c r="J49" s="4">
        <v>710964</v>
      </c>
      <c r="K49" s="4">
        <v>0</v>
      </c>
      <c r="L49" s="2">
        <v>0</v>
      </c>
      <c r="M49" s="10" t="s">
        <v>246</v>
      </c>
      <c r="N49" s="10" t="s">
        <v>247</v>
      </c>
      <c r="O49" s="10" t="s">
        <v>247</v>
      </c>
      <c r="P49" s="10" t="s">
        <v>328</v>
      </c>
      <c r="Q49" s="10" t="s">
        <v>249</v>
      </c>
      <c r="R49" s="8">
        <v>45444</v>
      </c>
      <c r="S49" s="14">
        <v>0.20008101851852</v>
      </c>
      <c r="T49" s="10" t="s">
        <v>388</v>
      </c>
    </row>
    <row r="50" spans="1:20" x14ac:dyDescent="0.2">
      <c r="A50" s="10" t="s">
        <v>238</v>
      </c>
      <c r="B50" s="10" t="s">
        <v>239</v>
      </c>
      <c r="C50" s="10" t="s">
        <v>240</v>
      </c>
      <c r="D50" s="10" t="s">
        <v>398</v>
      </c>
      <c r="E50" s="10" t="s">
        <v>399</v>
      </c>
      <c r="F50" s="8">
        <v>45443</v>
      </c>
      <c r="G50" s="10" t="s">
        <v>400</v>
      </c>
      <c r="H50" s="10" t="s">
        <v>244</v>
      </c>
      <c r="I50" s="10" t="s">
        <v>245</v>
      </c>
      <c r="J50" s="4">
        <v>11637466</v>
      </c>
      <c r="K50" s="4">
        <v>0</v>
      </c>
      <c r="L50" s="2">
        <v>0</v>
      </c>
      <c r="M50" s="10" t="s">
        <v>246</v>
      </c>
      <c r="N50" s="10" t="s">
        <v>247</v>
      </c>
      <c r="O50" s="10" t="s">
        <v>247</v>
      </c>
      <c r="P50" s="10" t="s">
        <v>328</v>
      </c>
      <c r="Q50" s="10" t="s">
        <v>249</v>
      </c>
      <c r="R50" s="8">
        <v>45444</v>
      </c>
      <c r="S50" s="14">
        <v>0.2012962962963</v>
      </c>
      <c r="T50" s="10" t="s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selection activeCell="G18" sqref="A1:T26"/>
    </sheetView>
  </sheetViews>
  <sheetFormatPr defaultRowHeight="12" x14ac:dyDescent="0.2"/>
  <sheetData>
    <row r="1" spans="1:20" ht="15" x14ac:dyDescent="0.2">
      <c r="A1" s="11" t="s">
        <v>218</v>
      </c>
      <c r="B1" s="11" t="s">
        <v>219</v>
      </c>
      <c r="C1" s="11" t="s">
        <v>220</v>
      </c>
      <c r="D1" s="11" t="s">
        <v>221</v>
      </c>
      <c r="E1" s="11" t="s">
        <v>222</v>
      </c>
      <c r="F1" s="11" t="s">
        <v>223</v>
      </c>
      <c r="G1" s="11" t="s">
        <v>224</v>
      </c>
      <c r="H1" s="11" t="s">
        <v>225</v>
      </c>
      <c r="I1" s="11" t="s">
        <v>226</v>
      </c>
      <c r="J1" s="11" t="s">
        <v>227</v>
      </c>
      <c r="K1" s="11" t="s">
        <v>228</v>
      </c>
      <c r="L1" s="11" t="s">
        <v>229</v>
      </c>
      <c r="M1" s="11" t="s">
        <v>230</v>
      </c>
      <c r="N1" s="11" t="s">
        <v>231</v>
      </c>
      <c r="O1" s="11" t="s">
        <v>232</v>
      </c>
      <c r="P1" s="11" t="s">
        <v>233</v>
      </c>
      <c r="Q1" s="11" t="s">
        <v>234</v>
      </c>
      <c r="R1" s="11" t="s">
        <v>235</v>
      </c>
      <c r="S1" s="11" t="s">
        <v>236</v>
      </c>
      <c r="T1" s="11" t="s">
        <v>237</v>
      </c>
    </row>
    <row r="2" spans="1:20" x14ac:dyDescent="0.2">
      <c r="A2" s="10" t="s">
        <v>238</v>
      </c>
      <c r="B2" s="10" t="s">
        <v>239</v>
      </c>
      <c r="C2" s="10" t="s">
        <v>401</v>
      </c>
      <c r="D2" s="10" t="s">
        <v>241</v>
      </c>
      <c r="E2" s="10" t="s">
        <v>242</v>
      </c>
      <c r="F2" s="8">
        <v>45443</v>
      </c>
      <c r="G2" s="10" t="s">
        <v>243</v>
      </c>
      <c r="H2" s="10" t="s">
        <v>402</v>
      </c>
      <c r="I2" s="10" t="s">
        <v>245</v>
      </c>
      <c r="J2" s="4">
        <v>8906836</v>
      </c>
      <c r="K2" s="4">
        <v>0</v>
      </c>
      <c r="L2" s="2">
        <v>0</v>
      </c>
      <c r="M2" s="10" t="s">
        <v>246</v>
      </c>
      <c r="N2" s="10" t="s">
        <v>247</v>
      </c>
      <c r="O2" s="10" t="s">
        <v>247</v>
      </c>
      <c r="P2" s="10" t="s">
        <v>403</v>
      </c>
      <c r="Q2" s="10" t="s">
        <v>249</v>
      </c>
      <c r="R2" s="8">
        <v>45444</v>
      </c>
      <c r="S2" s="14">
        <v>0.37803240740741001</v>
      </c>
      <c r="T2" s="10" t="s">
        <v>250</v>
      </c>
    </row>
    <row r="3" spans="1:20" x14ac:dyDescent="0.2">
      <c r="A3" s="10" t="s">
        <v>238</v>
      </c>
      <c r="B3" s="10" t="s">
        <v>239</v>
      </c>
      <c r="C3" s="10" t="s">
        <v>401</v>
      </c>
      <c r="D3" s="10" t="s">
        <v>325</v>
      </c>
      <c r="E3" s="10" t="s">
        <v>326</v>
      </c>
      <c r="F3" s="8">
        <v>45443</v>
      </c>
      <c r="G3" s="10" t="s">
        <v>327</v>
      </c>
      <c r="H3" s="10" t="s">
        <v>402</v>
      </c>
      <c r="I3" s="10" t="s">
        <v>245</v>
      </c>
      <c r="J3" s="4">
        <v>2796532</v>
      </c>
      <c r="K3" s="4">
        <v>0</v>
      </c>
      <c r="L3" s="2">
        <v>0</v>
      </c>
      <c r="M3" s="10" t="s">
        <v>246</v>
      </c>
      <c r="N3" s="10" t="s">
        <v>247</v>
      </c>
      <c r="O3" s="10" t="s">
        <v>247</v>
      </c>
      <c r="P3" s="10" t="s">
        <v>404</v>
      </c>
      <c r="Q3" s="10" t="s">
        <v>249</v>
      </c>
      <c r="R3" s="8">
        <v>45444</v>
      </c>
      <c r="S3" s="14">
        <v>0.29340277777778001</v>
      </c>
      <c r="T3" s="10" t="s">
        <v>329</v>
      </c>
    </row>
    <row r="4" spans="1:20" x14ac:dyDescent="0.2">
      <c r="A4" s="10" t="s">
        <v>238</v>
      </c>
      <c r="B4" s="10" t="s">
        <v>239</v>
      </c>
      <c r="C4" s="10" t="s">
        <v>401</v>
      </c>
      <c r="D4" s="10" t="s">
        <v>330</v>
      </c>
      <c r="E4" s="10" t="s">
        <v>331</v>
      </c>
      <c r="F4" s="8">
        <v>45443</v>
      </c>
      <c r="G4" s="10" t="s">
        <v>332</v>
      </c>
      <c r="H4" s="10" t="s">
        <v>402</v>
      </c>
      <c r="I4" s="10" t="s">
        <v>245</v>
      </c>
      <c r="J4" s="6">
        <v>-437827</v>
      </c>
      <c r="K4" s="4">
        <v>0</v>
      </c>
      <c r="L4" s="2">
        <v>0</v>
      </c>
      <c r="M4" s="10" t="s">
        <v>246</v>
      </c>
      <c r="N4" s="10" t="s">
        <v>247</v>
      </c>
      <c r="O4" s="10" t="s">
        <v>247</v>
      </c>
      <c r="P4" s="10" t="s">
        <v>404</v>
      </c>
      <c r="Q4" s="10" t="s">
        <v>249</v>
      </c>
      <c r="R4" s="8">
        <v>45444</v>
      </c>
      <c r="S4" s="14">
        <v>0.29340277777778001</v>
      </c>
      <c r="T4" s="10" t="s">
        <v>329</v>
      </c>
    </row>
    <row r="5" spans="1:20" x14ac:dyDescent="0.2">
      <c r="A5" s="10" t="s">
        <v>238</v>
      </c>
      <c r="B5" s="10" t="s">
        <v>239</v>
      </c>
      <c r="C5" s="10" t="s">
        <v>401</v>
      </c>
      <c r="D5" s="10" t="s">
        <v>333</v>
      </c>
      <c r="E5" s="10" t="s">
        <v>334</v>
      </c>
      <c r="F5" s="8">
        <v>45443</v>
      </c>
      <c r="G5" s="10" t="s">
        <v>335</v>
      </c>
      <c r="H5" s="10" t="s">
        <v>402</v>
      </c>
      <c r="I5" s="10" t="s">
        <v>245</v>
      </c>
      <c r="J5" s="6">
        <v>-1970531</v>
      </c>
      <c r="K5" s="4">
        <v>0</v>
      </c>
      <c r="L5" s="2">
        <v>0</v>
      </c>
      <c r="M5" s="10" t="s">
        <v>246</v>
      </c>
      <c r="N5" s="10" t="s">
        <v>247</v>
      </c>
      <c r="O5" s="10" t="s">
        <v>247</v>
      </c>
      <c r="P5" s="10" t="s">
        <v>404</v>
      </c>
      <c r="Q5" s="10" t="s">
        <v>249</v>
      </c>
      <c r="R5" s="8">
        <v>45444</v>
      </c>
      <c r="S5" s="14">
        <v>0.29521990740741</v>
      </c>
      <c r="T5" s="10" t="s">
        <v>329</v>
      </c>
    </row>
    <row r="6" spans="1:20" x14ac:dyDescent="0.2">
      <c r="A6" s="10" t="s">
        <v>238</v>
      </c>
      <c r="B6" s="10" t="s">
        <v>239</v>
      </c>
      <c r="C6" s="10" t="s">
        <v>401</v>
      </c>
      <c r="D6" s="10" t="s">
        <v>336</v>
      </c>
      <c r="E6" s="10" t="s">
        <v>337</v>
      </c>
      <c r="F6" s="8">
        <v>45443</v>
      </c>
      <c r="G6" s="10" t="s">
        <v>338</v>
      </c>
      <c r="H6" s="10" t="s">
        <v>402</v>
      </c>
      <c r="I6" s="10" t="s">
        <v>245</v>
      </c>
      <c r="J6" s="6">
        <v>-6750238</v>
      </c>
      <c r="K6" s="4">
        <v>0</v>
      </c>
      <c r="L6" s="2">
        <v>0</v>
      </c>
      <c r="M6" s="10" t="s">
        <v>246</v>
      </c>
      <c r="N6" s="10" t="s">
        <v>247</v>
      </c>
      <c r="O6" s="10" t="s">
        <v>247</v>
      </c>
      <c r="P6" s="10" t="s">
        <v>404</v>
      </c>
      <c r="Q6" s="10" t="s">
        <v>249</v>
      </c>
      <c r="R6" s="8">
        <v>45444</v>
      </c>
      <c r="S6" s="14">
        <v>0.29521990740741</v>
      </c>
      <c r="T6" s="10" t="s">
        <v>329</v>
      </c>
    </row>
    <row r="7" spans="1:20" x14ac:dyDescent="0.2">
      <c r="A7" s="10" t="s">
        <v>238</v>
      </c>
      <c r="B7" s="10" t="s">
        <v>239</v>
      </c>
      <c r="C7" s="10" t="s">
        <v>401</v>
      </c>
      <c r="D7" s="10" t="s">
        <v>339</v>
      </c>
      <c r="E7" s="10" t="s">
        <v>340</v>
      </c>
      <c r="F7" s="8">
        <v>45443</v>
      </c>
      <c r="G7" s="10" t="s">
        <v>341</v>
      </c>
      <c r="H7" s="10" t="s">
        <v>402</v>
      </c>
      <c r="I7" s="10" t="s">
        <v>245</v>
      </c>
      <c r="J7" s="6">
        <v>-7379673</v>
      </c>
      <c r="K7" s="4">
        <v>0</v>
      </c>
      <c r="L7" s="2">
        <v>0</v>
      </c>
      <c r="M7" s="10" t="s">
        <v>246</v>
      </c>
      <c r="N7" s="10" t="s">
        <v>247</v>
      </c>
      <c r="O7" s="10" t="s">
        <v>247</v>
      </c>
      <c r="P7" s="10" t="s">
        <v>404</v>
      </c>
      <c r="Q7" s="10" t="s">
        <v>249</v>
      </c>
      <c r="R7" s="8">
        <v>45444</v>
      </c>
      <c r="S7" s="14">
        <v>0.29521990740741</v>
      </c>
      <c r="T7" s="10" t="s">
        <v>329</v>
      </c>
    </row>
    <row r="8" spans="1:20" x14ac:dyDescent="0.2">
      <c r="A8" s="10" t="s">
        <v>238</v>
      </c>
      <c r="B8" s="10" t="s">
        <v>239</v>
      </c>
      <c r="C8" s="10" t="s">
        <v>401</v>
      </c>
      <c r="D8" s="10" t="s">
        <v>342</v>
      </c>
      <c r="E8" s="10" t="s">
        <v>343</v>
      </c>
      <c r="F8" s="8">
        <v>45443</v>
      </c>
      <c r="G8" s="10" t="s">
        <v>344</v>
      </c>
      <c r="H8" s="10" t="s">
        <v>402</v>
      </c>
      <c r="I8" s="10" t="s">
        <v>245</v>
      </c>
      <c r="J8" s="6">
        <v>-10811749</v>
      </c>
      <c r="K8" s="4">
        <v>0</v>
      </c>
      <c r="L8" s="2">
        <v>0</v>
      </c>
      <c r="M8" s="10" t="s">
        <v>246</v>
      </c>
      <c r="N8" s="10" t="s">
        <v>247</v>
      </c>
      <c r="O8" s="10" t="s">
        <v>247</v>
      </c>
      <c r="P8" s="10" t="s">
        <v>404</v>
      </c>
      <c r="Q8" s="10" t="s">
        <v>249</v>
      </c>
      <c r="R8" s="8">
        <v>45444</v>
      </c>
      <c r="S8" s="14">
        <v>0.29521990740741</v>
      </c>
      <c r="T8" s="10" t="s">
        <v>329</v>
      </c>
    </row>
    <row r="9" spans="1:20" x14ac:dyDescent="0.2">
      <c r="A9" s="10" t="s">
        <v>238</v>
      </c>
      <c r="B9" s="10" t="s">
        <v>239</v>
      </c>
      <c r="C9" s="10" t="s">
        <v>401</v>
      </c>
      <c r="D9" s="10" t="s">
        <v>345</v>
      </c>
      <c r="E9" s="10" t="s">
        <v>346</v>
      </c>
      <c r="F9" s="8">
        <v>45443</v>
      </c>
      <c r="G9" s="10" t="s">
        <v>347</v>
      </c>
      <c r="H9" s="10" t="s">
        <v>402</v>
      </c>
      <c r="I9" s="10" t="s">
        <v>245</v>
      </c>
      <c r="J9" s="6">
        <v>-3097524</v>
      </c>
      <c r="K9" s="4">
        <v>0</v>
      </c>
      <c r="L9" s="2">
        <v>0</v>
      </c>
      <c r="M9" s="10" t="s">
        <v>246</v>
      </c>
      <c r="N9" s="10" t="s">
        <v>247</v>
      </c>
      <c r="O9" s="10" t="s">
        <v>247</v>
      </c>
      <c r="P9" s="10" t="s">
        <v>404</v>
      </c>
      <c r="Q9" s="10" t="s">
        <v>249</v>
      </c>
      <c r="R9" s="8">
        <v>45444</v>
      </c>
      <c r="S9" s="14">
        <v>0.29521990740741</v>
      </c>
      <c r="T9" s="10" t="s">
        <v>329</v>
      </c>
    </row>
    <row r="10" spans="1:20" x14ac:dyDescent="0.2">
      <c r="A10" s="10" t="s">
        <v>238</v>
      </c>
      <c r="B10" s="10" t="s">
        <v>239</v>
      </c>
      <c r="C10" s="10" t="s">
        <v>401</v>
      </c>
      <c r="D10" s="10" t="s">
        <v>348</v>
      </c>
      <c r="E10" s="10" t="s">
        <v>349</v>
      </c>
      <c r="F10" s="8">
        <v>45443</v>
      </c>
      <c r="G10" s="10" t="s">
        <v>350</v>
      </c>
      <c r="H10" s="10" t="s">
        <v>402</v>
      </c>
      <c r="I10" s="10" t="s">
        <v>245</v>
      </c>
      <c r="J10" s="4">
        <v>401363</v>
      </c>
      <c r="K10" s="4">
        <v>0</v>
      </c>
      <c r="L10" s="2">
        <v>0</v>
      </c>
      <c r="M10" s="10" t="s">
        <v>246</v>
      </c>
      <c r="N10" s="10" t="s">
        <v>247</v>
      </c>
      <c r="O10" s="10" t="s">
        <v>247</v>
      </c>
      <c r="P10" s="10" t="s">
        <v>404</v>
      </c>
      <c r="Q10" s="10" t="s">
        <v>249</v>
      </c>
      <c r="R10" s="8">
        <v>45444</v>
      </c>
      <c r="S10" s="14">
        <v>0.29521990740741</v>
      </c>
      <c r="T10" s="10" t="s">
        <v>329</v>
      </c>
    </row>
    <row r="11" spans="1:20" x14ac:dyDescent="0.2">
      <c r="A11" s="10" t="s">
        <v>238</v>
      </c>
      <c r="B11" s="10" t="s">
        <v>239</v>
      </c>
      <c r="C11" s="10" t="s">
        <v>401</v>
      </c>
      <c r="D11" s="10" t="s">
        <v>351</v>
      </c>
      <c r="E11" s="10" t="s">
        <v>352</v>
      </c>
      <c r="F11" s="8">
        <v>45443</v>
      </c>
      <c r="G11" s="10" t="s">
        <v>353</v>
      </c>
      <c r="H11" s="10" t="s">
        <v>402</v>
      </c>
      <c r="I11" s="10" t="s">
        <v>245</v>
      </c>
      <c r="J11" s="6">
        <v>-6878078</v>
      </c>
      <c r="K11" s="4">
        <v>0</v>
      </c>
      <c r="L11" s="2">
        <v>0</v>
      </c>
      <c r="M11" s="10" t="s">
        <v>246</v>
      </c>
      <c r="N11" s="10" t="s">
        <v>247</v>
      </c>
      <c r="O11" s="10" t="s">
        <v>247</v>
      </c>
      <c r="P11" s="10" t="s">
        <v>404</v>
      </c>
      <c r="Q11" s="10" t="s">
        <v>249</v>
      </c>
      <c r="R11" s="8">
        <v>45444</v>
      </c>
      <c r="S11" s="14">
        <v>0.29521990740741</v>
      </c>
      <c r="T11" s="10" t="s">
        <v>329</v>
      </c>
    </row>
    <row r="12" spans="1:20" x14ac:dyDescent="0.2">
      <c r="A12" s="10" t="s">
        <v>238</v>
      </c>
      <c r="B12" s="10" t="s">
        <v>239</v>
      </c>
      <c r="C12" s="10" t="s">
        <v>401</v>
      </c>
      <c r="D12" s="10" t="s">
        <v>354</v>
      </c>
      <c r="E12" s="10" t="s">
        <v>355</v>
      </c>
      <c r="F12" s="8">
        <v>45443</v>
      </c>
      <c r="G12" s="10" t="s">
        <v>356</v>
      </c>
      <c r="H12" s="10" t="s">
        <v>402</v>
      </c>
      <c r="I12" s="10" t="s">
        <v>245</v>
      </c>
      <c r="J12" s="6">
        <v>-1919429</v>
      </c>
      <c r="K12" s="4">
        <v>0</v>
      </c>
      <c r="L12" s="2">
        <v>0</v>
      </c>
      <c r="M12" s="10" t="s">
        <v>246</v>
      </c>
      <c r="N12" s="10" t="s">
        <v>247</v>
      </c>
      <c r="O12" s="10" t="s">
        <v>247</v>
      </c>
      <c r="P12" s="10" t="s">
        <v>404</v>
      </c>
      <c r="Q12" s="10" t="s">
        <v>249</v>
      </c>
      <c r="R12" s="8">
        <v>45444</v>
      </c>
      <c r="S12" s="14">
        <v>0.29521990740741</v>
      </c>
      <c r="T12" s="10" t="s">
        <v>329</v>
      </c>
    </row>
    <row r="13" spans="1:20" x14ac:dyDescent="0.2">
      <c r="A13" s="10" t="s">
        <v>238</v>
      </c>
      <c r="B13" s="10" t="s">
        <v>239</v>
      </c>
      <c r="C13" s="10" t="s">
        <v>401</v>
      </c>
      <c r="D13" s="10" t="s">
        <v>357</v>
      </c>
      <c r="E13" s="10" t="s">
        <v>358</v>
      </c>
      <c r="F13" s="8">
        <v>45443</v>
      </c>
      <c r="G13" s="10" t="s">
        <v>359</v>
      </c>
      <c r="H13" s="10" t="s">
        <v>402</v>
      </c>
      <c r="I13" s="10" t="s">
        <v>245</v>
      </c>
      <c r="J13" s="4">
        <v>167418</v>
      </c>
      <c r="K13" s="4">
        <v>0</v>
      </c>
      <c r="L13" s="2">
        <v>0</v>
      </c>
      <c r="M13" s="10" t="s">
        <v>246</v>
      </c>
      <c r="N13" s="10" t="s">
        <v>247</v>
      </c>
      <c r="O13" s="10" t="s">
        <v>247</v>
      </c>
      <c r="P13" s="10" t="s">
        <v>404</v>
      </c>
      <c r="Q13" s="10" t="s">
        <v>249</v>
      </c>
      <c r="R13" s="8">
        <v>45444</v>
      </c>
      <c r="S13" s="14">
        <v>0.29521990740741</v>
      </c>
      <c r="T13" s="10" t="s">
        <v>329</v>
      </c>
    </row>
    <row r="14" spans="1:20" x14ac:dyDescent="0.2">
      <c r="A14" s="10" t="s">
        <v>238</v>
      </c>
      <c r="B14" s="10" t="s">
        <v>239</v>
      </c>
      <c r="C14" s="10" t="s">
        <v>401</v>
      </c>
      <c r="D14" s="10" t="s">
        <v>360</v>
      </c>
      <c r="E14" s="10" t="s">
        <v>361</v>
      </c>
      <c r="F14" s="8">
        <v>45443</v>
      </c>
      <c r="G14" s="10" t="s">
        <v>362</v>
      </c>
      <c r="H14" s="10" t="s">
        <v>402</v>
      </c>
      <c r="I14" s="10" t="s">
        <v>245</v>
      </c>
      <c r="J14" s="6">
        <v>-423406</v>
      </c>
      <c r="K14" s="4">
        <v>0</v>
      </c>
      <c r="L14" s="2">
        <v>0</v>
      </c>
      <c r="M14" s="10" t="s">
        <v>246</v>
      </c>
      <c r="N14" s="10" t="s">
        <v>247</v>
      </c>
      <c r="O14" s="10" t="s">
        <v>247</v>
      </c>
      <c r="P14" s="10" t="s">
        <v>404</v>
      </c>
      <c r="Q14" s="10" t="s">
        <v>249</v>
      </c>
      <c r="R14" s="8">
        <v>45444</v>
      </c>
      <c r="S14" s="14">
        <v>0.29521990740741</v>
      </c>
      <c r="T14" s="10" t="s">
        <v>329</v>
      </c>
    </row>
    <row r="15" spans="1:20" x14ac:dyDescent="0.2">
      <c r="A15" s="10" t="s">
        <v>238</v>
      </c>
      <c r="B15" s="10" t="s">
        <v>239</v>
      </c>
      <c r="C15" s="10" t="s">
        <v>401</v>
      </c>
      <c r="D15" s="10" t="s">
        <v>363</v>
      </c>
      <c r="E15" s="10" t="s">
        <v>364</v>
      </c>
      <c r="F15" s="8">
        <v>45443</v>
      </c>
      <c r="G15" s="10" t="s">
        <v>365</v>
      </c>
      <c r="H15" s="10" t="s">
        <v>402</v>
      </c>
      <c r="I15" s="10" t="s">
        <v>245</v>
      </c>
      <c r="J15" s="6">
        <v>-334259</v>
      </c>
      <c r="K15" s="4">
        <v>0</v>
      </c>
      <c r="L15" s="2">
        <v>0</v>
      </c>
      <c r="M15" s="10" t="s">
        <v>246</v>
      </c>
      <c r="N15" s="10" t="s">
        <v>247</v>
      </c>
      <c r="O15" s="10" t="s">
        <v>247</v>
      </c>
      <c r="P15" s="10" t="s">
        <v>404</v>
      </c>
      <c r="Q15" s="10" t="s">
        <v>249</v>
      </c>
      <c r="R15" s="8">
        <v>45444</v>
      </c>
      <c r="S15" s="14">
        <v>0.29521990740741</v>
      </c>
      <c r="T15" s="10" t="s">
        <v>329</v>
      </c>
    </row>
    <row r="16" spans="1:20" x14ac:dyDescent="0.2">
      <c r="A16" s="10" t="s">
        <v>238</v>
      </c>
      <c r="B16" s="10" t="s">
        <v>239</v>
      </c>
      <c r="C16" s="10" t="s">
        <v>401</v>
      </c>
      <c r="D16" s="10" t="s">
        <v>366</v>
      </c>
      <c r="E16" s="10" t="s">
        <v>367</v>
      </c>
      <c r="F16" s="8">
        <v>45443</v>
      </c>
      <c r="G16" s="10" t="s">
        <v>368</v>
      </c>
      <c r="H16" s="10" t="s">
        <v>402</v>
      </c>
      <c r="I16" s="10" t="s">
        <v>245</v>
      </c>
      <c r="J16" s="6">
        <v>-8522266</v>
      </c>
      <c r="K16" s="4">
        <v>0</v>
      </c>
      <c r="L16" s="2">
        <v>0</v>
      </c>
      <c r="M16" s="10" t="s">
        <v>246</v>
      </c>
      <c r="N16" s="10" t="s">
        <v>247</v>
      </c>
      <c r="O16" s="10" t="s">
        <v>247</v>
      </c>
      <c r="P16" s="10" t="s">
        <v>404</v>
      </c>
      <c r="Q16" s="10" t="s">
        <v>249</v>
      </c>
      <c r="R16" s="8">
        <v>45444</v>
      </c>
      <c r="S16" s="14">
        <v>0.29749999999999999</v>
      </c>
      <c r="T16" s="10" t="s">
        <v>329</v>
      </c>
    </row>
    <row r="17" spans="1:20" x14ac:dyDescent="0.2">
      <c r="A17" s="10" t="s">
        <v>238</v>
      </c>
      <c r="B17" s="10" t="s">
        <v>239</v>
      </c>
      <c r="C17" s="10" t="s">
        <v>401</v>
      </c>
      <c r="D17" s="10" t="s">
        <v>369</v>
      </c>
      <c r="E17" s="10" t="s">
        <v>370</v>
      </c>
      <c r="F17" s="8">
        <v>45443</v>
      </c>
      <c r="G17" s="10" t="s">
        <v>371</v>
      </c>
      <c r="H17" s="10" t="s">
        <v>402</v>
      </c>
      <c r="I17" s="10" t="s">
        <v>245</v>
      </c>
      <c r="J17" s="6">
        <v>-3754731</v>
      </c>
      <c r="K17" s="4">
        <v>0</v>
      </c>
      <c r="L17" s="2">
        <v>0</v>
      </c>
      <c r="M17" s="10" t="s">
        <v>246</v>
      </c>
      <c r="N17" s="10" t="s">
        <v>247</v>
      </c>
      <c r="O17" s="10" t="s">
        <v>247</v>
      </c>
      <c r="P17" s="10" t="s">
        <v>404</v>
      </c>
      <c r="Q17" s="10" t="s">
        <v>249</v>
      </c>
      <c r="R17" s="8">
        <v>45444</v>
      </c>
      <c r="S17" s="14">
        <v>0.29749999999999999</v>
      </c>
      <c r="T17" s="10" t="s">
        <v>329</v>
      </c>
    </row>
    <row r="18" spans="1:20" x14ac:dyDescent="0.2">
      <c r="A18" s="10" t="s">
        <v>238</v>
      </c>
      <c r="B18" s="10" t="s">
        <v>239</v>
      </c>
      <c r="C18" s="10" t="s">
        <v>401</v>
      </c>
      <c r="D18" s="10" t="s">
        <v>372</v>
      </c>
      <c r="E18" s="10" t="s">
        <v>373</v>
      </c>
      <c r="F18" s="8">
        <v>45443</v>
      </c>
      <c r="G18" s="10" t="s">
        <v>374</v>
      </c>
      <c r="H18" s="10" t="s">
        <v>402</v>
      </c>
      <c r="I18" s="10" t="s">
        <v>245</v>
      </c>
      <c r="J18" s="6">
        <v>-4105810</v>
      </c>
      <c r="K18" s="4">
        <v>0</v>
      </c>
      <c r="L18" s="2">
        <v>0</v>
      </c>
      <c r="M18" s="10" t="s">
        <v>246</v>
      </c>
      <c r="N18" s="10" t="s">
        <v>247</v>
      </c>
      <c r="O18" s="10" t="s">
        <v>247</v>
      </c>
      <c r="P18" s="10" t="s">
        <v>404</v>
      </c>
      <c r="Q18" s="10" t="s">
        <v>249</v>
      </c>
      <c r="R18" s="8">
        <v>45444</v>
      </c>
      <c r="S18" s="14">
        <v>0.29749999999999999</v>
      </c>
      <c r="T18" s="10" t="s">
        <v>329</v>
      </c>
    </row>
    <row r="19" spans="1:20" x14ac:dyDescent="0.2">
      <c r="A19" s="10" t="s">
        <v>238</v>
      </c>
      <c r="B19" s="10" t="s">
        <v>239</v>
      </c>
      <c r="C19" s="10" t="s">
        <v>401</v>
      </c>
      <c r="D19" s="10" t="s">
        <v>375</v>
      </c>
      <c r="E19" s="10" t="s">
        <v>376</v>
      </c>
      <c r="F19" s="8">
        <v>45443</v>
      </c>
      <c r="G19" s="10" t="s">
        <v>377</v>
      </c>
      <c r="H19" s="10" t="s">
        <v>402</v>
      </c>
      <c r="I19" s="10" t="s">
        <v>245</v>
      </c>
      <c r="J19" s="6">
        <v>-33030510</v>
      </c>
      <c r="K19" s="4">
        <v>0</v>
      </c>
      <c r="L19" s="2">
        <v>0</v>
      </c>
      <c r="M19" s="10" t="s">
        <v>246</v>
      </c>
      <c r="N19" s="10" t="s">
        <v>247</v>
      </c>
      <c r="O19" s="10" t="s">
        <v>247</v>
      </c>
      <c r="P19" s="10" t="s">
        <v>404</v>
      </c>
      <c r="Q19" s="10" t="s">
        <v>249</v>
      </c>
      <c r="R19" s="8">
        <v>45444</v>
      </c>
      <c r="S19" s="14">
        <v>0.30060185185185001</v>
      </c>
      <c r="T19" s="10" t="s">
        <v>378</v>
      </c>
    </row>
    <row r="20" spans="1:20" x14ac:dyDescent="0.2">
      <c r="A20" s="10" t="s">
        <v>238</v>
      </c>
      <c r="B20" s="10" t="s">
        <v>239</v>
      </c>
      <c r="C20" s="10" t="s">
        <v>401</v>
      </c>
      <c r="D20" s="10" t="s">
        <v>379</v>
      </c>
      <c r="E20" s="10" t="s">
        <v>380</v>
      </c>
      <c r="F20" s="8">
        <v>45443</v>
      </c>
      <c r="G20" s="10" t="s">
        <v>381</v>
      </c>
      <c r="H20" s="10" t="s">
        <v>402</v>
      </c>
      <c r="I20" s="10" t="s">
        <v>245</v>
      </c>
      <c r="J20" s="6">
        <v>-14527439</v>
      </c>
      <c r="K20" s="4">
        <v>0</v>
      </c>
      <c r="L20" s="2">
        <v>0</v>
      </c>
      <c r="M20" s="10" t="s">
        <v>246</v>
      </c>
      <c r="N20" s="10" t="s">
        <v>247</v>
      </c>
      <c r="O20" s="10" t="s">
        <v>247</v>
      </c>
      <c r="P20" s="10" t="s">
        <v>404</v>
      </c>
      <c r="Q20" s="10" t="s">
        <v>249</v>
      </c>
      <c r="R20" s="8">
        <v>45444</v>
      </c>
      <c r="S20" s="14">
        <v>0.30060185185185001</v>
      </c>
      <c r="T20" s="10" t="s">
        <v>378</v>
      </c>
    </row>
    <row r="21" spans="1:20" x14ac:dyDescent="0.2">
      <c r="A21" s="10" t="s">
        <v>238</v>
      </c>
      <c r="B21" s="10" t="s">
        <v>239</v>
      </c>
      <c r="C21" s="10" t="s">
        <v>401</v>
      </c>
      <c r="D21" s="10" t="s">
        <v>382</v>
      </c>
      <c r="E21" s="10" t="s">
        <v>383</v>
      </c>
      <c r="F21" s="8">
        <v>45443</v>
      </c>
      <c r="G21" s="10" t="s">
        <v>384</v>
      </c>
      <c r="H21" s="10" t="s">
        <v>402</v>
      </c>
      <c r="I21" s="10" t="s">
        <v>245</v>
      </c>
      <c r="J21" s="6">
        <v>-6701574</v>
      </c>
      <c r="K21" s="4">
        <v>0</v>
      </c>
      <c r="L21" s="2">
        <v>0</v>
      </c>
      <c r="M21" s="10" t="s">
        <v>246</v>
      </c>
      <c r="N21" s="10" t="s">
        <v>247</v>
      </c>
      <c r="O21" s="10" t="s">
        <v>247</v>
      </c>
      <c r="P21" s="10" t="s">
        <v>404</v>
      </c>
      <c r="Q21" s="10" t="s">
        <v>249</v>
      </c>
      <c r="R21" s="8">
        <v>45444</v>
      </c>
      <c r="S21" s="14">
        <v>0.30297453703704003</v>
      </c>
      <c r="T21" s="10" t="s">
        <v>378</v>
      </c>
    </row>
    <row r="22" spans="1:20" x14ac:dyDescent="0.2">
      <c r="A22" s="10" t="s">
        <v>238</v>
      </c>
      <c r="B22" s="10" t="s">
        <v>239</v>
      </c>
      <c r="C22" s="10" t="s">
        <v>401</v>
      </c>
      <c r="D22" s="10" t="s">
        <v>385</v>
      </c>
      <c r="E22" s="10" t="s">
        <v>386</v>
      </c>
      <c r="F22" s="8">
        <v>45443</v>
      </c>
      <c r="G22" s="10" t="s">
        <v>387</v>
      </c>
      <c r="H22" s="10" t="s">
        <v>402</v>
      </c>
      <c r="I22" s="10" t="s">
        <v>245</v>
      </c>
      <c r="J22" s="6">
        <v>-1737327</v>
      </c>
      <c r="K22" s="4">
        <v>0</v>
      </c>
      <c r="L22" s="2">
        <v>0</v>
      </c>
      <c r="M22" s="10" t="s">
        <v>246</v>
      </c>
      <c r="N22" s="10" t="s">
        <v>247</v>
      </c>
      <c r="O22" s="10" t="s">
        <v>247</v>
      </c>
      <c r="P22" s="10" t="s">
        <v>404</v>
      </c>
      <c r="Q22" s="10" t="s">
        <v>249</v>
      </c>
      <c r="R22" s="8">
        <v>45444</v>
      </c>
      <c r="S22" s="14">
        <v>0.30376157407407001</v>
      </c>
      <c r="T22" s="10" t="s">
        <v>388</v>
      </c>
    </row>
    <row r="23" spans="1:20" x14ac:dyDescent="0.2">
      <c r="A23" s="10" t="s">
        <v>238</v>
      </c>
      <c r="B23" s="10" t="s">
        <v>239</v>
      </c>
      <c r="C23" s="10" t="s">
        <v>401</v>
      </c>
      <c r="D23" s="10" t="s">
        <v>389</v>
      </c>
      <c r="E23" s="10" t="s">
        <v>390</v>
      </c>
      <c r="F23" s="8">
        <v>45443</v>
      </c>
      <c r="G23" s="10" t="s">
        <v>391</v>
      </c>
      <c r="H23" s="10" t="s">
        <v>402</v>
      </c>
      <c r="I23" s="10" t="s">
        <v>245</v>
      </c>
      <c r="J23" s="6">
        <v>-428079</v>
      </c>
      <c r="K23" s="4">
        <v>0</v>
      </c>
      <c r="L23" s="2">
        <v>0</v>
      </c>
      <c r="M23" s="10" t="s">
        <v>246</v>
      </c>
      <c r="N23" s="10" t="s">
        <v>247</v>
      </c>
      <c r="O23" s="10" t="s">
        <v>247</v>
      </c>
      <c r="P23" s="10" t="s">
        <v>404</v>
      </c>
      <c r="Q23" s="10" t="s">
        <v>249</v>
      </c>
      <c r="R23" s="8">
        <v>45444</v>
      </c>
      <c r="S23" s="14">
        <v>0.30376157407407001</v>
      </c>
      <c r="T23" s="10" t="s">
        <v>388</v>
      </c>
    </row>
    <row r="24" spans="1:20" x14ac:dyDescent="0.2">
      <c r="A24" s="10" t="s">
        <v>238</v>
      </c>
      <c r="B24" s="10" t="s">
        <v>239</v>
      </c>
      <c r="C24" s="10" t="s">
        <v>401</v>
      </c>
      <c r="D24" s="10" t="s">
        <v>392</v>
      </c>
      <c r="E24" s="10" t="s">
        <v>393</v>
      </c>
      <c r="F24" s="8">
        <v>45443</v>
      </c>
      <c r="G24" s="10" t="s">
        <v>394</v>
      </c>
      <c r="H24" s="10" t="s">
        <v>402</v>
      </c>
      <c r="I24" s="10" t="s">
        <v>245</v>
      </c>
      <c r="J24" s="6">
        <v>-727688</v>
      </c>
      <c r="K24" s="4">
        <v>0</v>
      </c>
      <c r="L24" s="2">
        <v>0</v>
      </c>
      <c r="M24" s="10" t="s">
        <v>246</v>
      </c>
      <c r="N24" s="10" t="s">
        <v>247</v>
      </c>
      <c r="O24" s="10" t="s">
        <v>247</v>
      </c>
      <c r="P24" s="10" t="s">
        <v>404</v>
      </c>
      <c r="Q24" s="10" t="s">
        <v>249</v>
      </c>
      <c r="R24" s="8">
        <v>45444</v>
      </c>
      <c r="S24" s="14">
        <v>0.30376157407407001</v>
      </c>
      <c r="T24" s="10" t="s">
        <v>388</v>
      </c>
    </row>
    <row r="25" spans="1:20" x14ac:dyDescent="0.2">
      <c r="A25" s="10" t="s">
        <v>238</v>
      </c>
      <c r="B25" s="10" t="s">
        <v>239</v>
      </c>
      <c r="C25" s="10" t="s">
        <v>401</v>
      </c>
      <c r="D25" s="10" t="s">
        <v>395</v>
      </c>
      <c r="E25" s="10" t="s">
        <v>396</v>
      </c>
      <c r="F25" s="8">
        <v>45443</v>
      </c>
      <c r="G25" s="10" t="s">
        <v>397</v>
      </c>
      <c r="H25" s="10" t="s">
        <v>402</v>
      </c>
      <c r="I25" s="10" t="s">
        <v>245</v>
      </c>
      <c r="J25" s="6">
        <v>-710964</v>
      </c>
      <c r="K25" s="4">
        <v>0</v>
      </c>
      <c r="L25" s="2">
        <v>0</v>
      </c>
      <c r="M25" s="10" t="s">
        <v>246</v>
      </c>
      <c r="N25" s="10" t="s">
        <v>247</v>
      </c>
      <c r="O25" s="10" t="s">
        <v>247</v>
      </c>
      <c r="P25" s="10" t="s">
        <v>404</v>
      </c>
      <c r="Q25" s="10" t="s">
        <v>249</v>
      </c>
      <c r="R25" s="8">
        <v>45444</v>
      </c>
      <c r="S25" s="14">
        <v>0.30376157407407001</v>
      </c>
      <c r="T25" s="10" t="s">
        <v>388</v>
      </c>
    </row>
    <row r="26" spans="1:20" x14ac:dyDescent="0.2">
      <c r="A26" s="10" t="s">
        <v>238</v>
      </c>
      <c r="B26" s="10" t="s">
        <v>239</v>
      </c>
      <c r="C26" s="10" t="s">
        <v>401</v>
      </c>
      <c r="D26" s="10" t="s">
        <v>398</v>
      </c>
      <c r="E26" s="10" t="s">
        <v>399</v>
      </c>
      <c r="F26" s="8">
        <v>45443</v>
      </c>
      <c r="G26" s="10" t="s">
        <v>400</v>
      </c>
      <c r="H26" s="10" t="s">
        <v>402</v>
      </c>
      <c r="I26" s="10" t="s">
        <v>245</v>
      </c>
      <c r="J26" s="6">
        <v>-11637466</v>
      </c>
      <c r="K26" s="4">
        <v>0</v>
      </c>
      <c r="L26" s="2">
        <v>0</v>
      </c>
      <c r="M26" s="10" t="s">
        <v>246</v>
      </c>
      <c r="N26" s="10" t="s">
        <v>247</v>
      </c>
      <c r="O26" s="10" t="s">
        <v>247</v>
      </c>
      <c r="P26" s="10" t="s">
        <v>404</v>
      </c>
      <c r="Q26" s="10" t="s">
        <v>249</v>
      </c>
      <c r="R26" s="8">
        <v>45444</v>
      </c>
      <c r="S26" s="14">
        <v>0.30496527777777999</v>
      </c>
      <c r="T26" s="10" t="s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topLeftCell="A73" workbookViewId="0">
      <selection activeCell="B1" sqref="B1:B1048576"/>
    </sheetView>
  </sheetViews>
  <sheetFormatPr defaultRowHeight="12" x14ac:dyDescent="0.2"/>
  <sheetData>
    <row r="1" spans="1:8" ht="15" x14ac:dyDescent="0.2">
      <c r="A1" s="11" t="s">
        <v>220</v>
      </c>
      <c r="B1" s="11" t="s">
        <v>222</v>
      </c>
      <c r="C1" s="11" t="s">
        <v>227</v>
      </c>
      <c r="D1" s="11" t="s">
        <v>228</v>
      </c>
      <c r="E1" s="11" t="s">
        <v>229</v>
      </c>
      <c r="F1" s="11" t="s">
        <v>230</v>
      </c>
      <c r="G1" s="11" t="s">
        <v>231</v>
      </c>
      <c r="H1" s="15" t="s">
        <v>405</v>
      </c>
    </row>
    <row r="2" spans="1:8" x14ac:dyDescent="0.2">
      <c r="A2" s="10" t="s">
        <v>240</v>
      </c>
      <c r="B2" s="10" t="s">
        <v>242</v>
      </c>
      <c r="C2" s="6">
        <v>-37655994</v>
      </c>
      <c r="D2" s="4">
        <v>0</v>
      </c>
      <c r="E2" s="2">
        <v>0</v>
      </c>
      <c r="F2" s="10" t="s">
        <v>246</v>
      </c>
      <c r="G2" s="10" t="s">
        <v>247</v>
      </c>
      <c r="H2" t="s">
        <v>407</v>
      </c>
    </row>
    <row r="3" spans="1:8" x14ac:dyDescent="0.2">
      <c r="A3" s="10" t="s">
        <v>401</v>
      </c>
      <c r="B3" s="10" t="s">
        <v>242</v>
      </c>
      <c r="C3" s="4">
        <v>8906836</v>
      </c>
      <c r="D3" s="4">
        <v>0</v>
      </c>
      <c r="E3" s="2">
        <v>0</v>
      </c>
      <c r="F3" s="10" t="s">
        <v>246</v>
      </c>
      <c r="G3" s="10" t="s">
        <v>247</v>
      </c>
      <c r="H3" t="s">
        <v>407</v>
      </c>
    </row>
    <row r="4" spans="1:8" x14ac:dyDescent="0.2">
      <c r="A4" s="10" t="s">
        <v>240</v>
      </c>
      <c r="B4" s="10" t="s">
        <v>252</v>
      </c>
      <c r="C4" s="4">
        <v>634272</v>
      </c>
      <c r="D4" s="4">
        <v>0</v>
      </c>
      <c r="E4" s="2">
        <v>0</v>
      </c>
      <c r="F4" s="10" t="s">
        <v>246</v>
      </c>
      <c r="G4" s="10" t="s">
        <v>247</v>
      </c>
      <c r="H4" t="s">
        <v>406</v>
      </c>
    </row>
    <row r="5" spans="1:8" x14ac:dyDescent="0.2">
      <c r="A5" s="10" t="s">
        <v>240</v>
      </c>
      <c r="B5" s="10" t="s">
        <v>257</v>
      </c>
      <c r="C5" s="4">
        <v>5633738</v>
      </c>
      <c r="D5" s="4">
        <v>0</v>
      </c>
      <c r="E5" s="2">
        <v>0</v>
      </c>
      <c r="F5" s="10" t="s">
        <v>246</v>
      </c>
      <c r="G5" s="10" t="s">
        <v>247</v>
      </c>
      <c r="H5" t="s">
        <v>406</v>
      </c>
    </row>
    <row r="6" spans="1:8" x14ac:dyDescent="0.2">
      <c r="A6" s="10" t="s">
        <v>240</v>
      </c>
      <c r="B6" s="10" t="s">
        <v>260</v>
      </c>
      <c r="C6" s="4">
        <v>1759217</v>
      </c>
      <c r="D6" s="4">
        <v>0</v>
      </c>
      <c r="E6" s="2">
        <v>0</v>
      </c>
      <c r="F6" s="10" t="s">
        <v>246</v>
      </c>
      <c r="G6" s="10" t="s">
        <v>247</v>
      </c>
      <c r="H6" t="s">
        <v>406</v>
      </c>
    </row>
    <row r="7" spans="1:8" x14ac:dyDescent="0.2">
      <c r="A7" s="10" t="s">
        <v>240</v>
      </c>
      <c r="B7" s="10" t="s">
        <v>263</v>
      </c>
      <c r="C7" s="6">
        <v>-634426</v>
      </c>
      <c r="D7" s="4">
        <v>0</v>
      </c>
      <c r="E7" s="2">
        <v>0</v>
      </c>
      <c r="F7" s="10" t="s">
        <v>246</v>
      </c>
      <c r="G7" s="10" t="s">
        <v>247</v>
      </c>
      <c r="H7" t="s">
        <v>406</v>
      </c>
    </row>
    <row r="8" spans="1:8" x14ac:dyDescent="0.2">
      <c r="A8" s="10" t="s">
        <v>240</v>
      </c>
      <c r="B8" s="10" t="s">
        <v>266</v>
      </c>
      <c r="C8" s="4">
        <v>3966115</v>
      </c>
      <c r="D8" s="4">
        <v>0</v>
      </c>
      <c r="E8" s="2">
        <v>0</v>
      </c>
      <c r="F8" s="10" t="s">
        <v>246</v>
      </c>
      <c r="G8" s="10" t="s">
        <v>247</v>
      </c>
      <c r="H8" t="s">
        <v>406</v>
      </c>
    </row>
    <row r="9" spans="1:8" x14ac:dyDescent="0.2">
      <c r="A9" s="10" t="s">
        <v>240</v>
      </c>
      <c r="B9" s="10" t="s">
        <v>269</v>
      </c>
      <c r="C9" s="4">
        <v>5933096</v>
      </c>
      <c r="D9" s="4">
        <v>0</v>
      </c>
      <c r="E9" s="2">
        <v>0</v>
      </c>
      <c r="F9" s="10" t="s">
        <v>246</v>
      </c>
      <c r="G9" s="10" t="s">
        <v>247</v>
      </c>
      <c r="H9" t="s">
        <v>406</v>
      </c>
    </row>
    <row r="10" spans="1:8" x14ac:dyDescent="0.2">
      <c r="A10" s="10" t="s">
        <v>240</v>
      </c>
      <c r="B10" s="10" t="s">
        <v>272</v>
      </c>
      <c r="C10" s="4">
        <v>916120</v>
      </c>
      <c r="D10" s="4">
        <v>0</v>
      </c>
      <c r="E10" s="2">
        <v>0</v>
      </c>
      <c r="F10" s="10" t="s">
        <v>246</v>
      </c>
      <c r="G10" s="10" t="s">
        <v>247</v>
      </c>
      <c r="H10" t="s">
        <v>406</v>
      </c>
    </row>
    <row r="11" spans="1:8" x14ac:dyDescent="0.2">
      <c r="A11" s="10" t="s">
        <v>240</v>
      </c>
      <c r="B11" s="10" t="s">
        <v>275</v>
      </c>
      <c r="C11" s="4">
        <v>6735460</v>
      </c>
      <c r="D11" s="4">
        <v>0</v>
      </c>
      <c r="E11" s="2">
        <v>0</v>
      </c>
      <c r="F11" s="10" t="s">
        <v>246</v>
      </c>
      <c r="G11" s="10" t="s">
        <v>247</v>
      </c>
      <c r="H11" t="s">
        <v>406</v>
      </c>
    </row>
    <row r="12" spans="1:8" x14ac:dyDescent="0.2">
      <c r="A12" s="10" t="s">
        <v>240</v>
      </c>
      <c r="B12" s="10" t="s">
        <v>278</v>
      </c>
      <c r="C12" s="4">
        <v>3372258</v>
      </c>
      <c r="D12" s="4">
        <v>0</v>
      </c>
      <c r="E12" s="2">
        <v>0</v>
      </c>
      <c r="F12" s="10" t="s">
        <v>246</v>
      </c>
      <c r="G12" s="10" t="s">
        <v>247</v>
      </c>
      <c r="H12" t="s">
        <v>406</v>
      </c>
    </row>
    <row r="13" spans="1:8" x14ac:dyDescent="0.2">
      <c r="A13" s="10" t="s">
        <v>240</v>
      </c>
      <c r="B13" s="10" t="s">
        <v>281</v>
      </c>
      <c r="C13" s="4">
        <v>3864517</v>
      </c>
      <c r="D13" s="4">
        <v>0</v>
      </c>
      <c r="E13" s="2">
        <v>0</v>
      </c>
      <c r="F13" s="10" t="s">
        <v>246</v>
      </c>
      <c r="G13" s="10" t="s">
        <v>247</v>
      </c>
      <c r="H13" t="s">
        <v>406</v>
      </c>
    </row>
    <row r="14" spans="1:8" x14ac:dyDescent="0.2">
      <c r="A14" s="10" t="s">
        <v>240</v>
      </c>
      <c r="B14" s="10" t="s">
        <v>284</v>
      </c>
      <c r="C14" s="4">
        <v>11611647</v>
      </c>
      <c r="D14" s="4">
        <v>0</v>
      </c>
      <c r="E14" s="2">
        <v>0</v>
      </c>
      <c r="F14" s="10" t="s">
        <v>246</v>
      </c>
      <c r="G14" s="10" t="s">
        <v>247</v>
      </c>
      <c r="H14" t="s">
        <v>406</v>
      </c>
    </row>
    <row r="15" spans="1:8" x14ac:dyDescent="0.2">
      <c r="A15" s="10" t="s">
        <v>240</v>
      </c>
      <c r="B15" s="10" t="s">
        <v>287</v>
      </c>
      <c r="C15" s="4">
        <v>4030700</v>
      </c>
      <c r="D15" s="4">
        <v>0</v>
      </c>
      <c r="E15" s="2">
        <v>0</v>
      </c>
      <c r="F15" s="10" t="s">
        <v>246</v>
      </c>
      <c r="G15" s="10" t="s">
        <v>247</v>
      </c>
      <c r="H15" t="s">
        <v>406</v>
      </c>
    </row>
    <row r="16" spans="1:8" x14ac:dyDescent="0.2">
      <c r="A16" s="10" t="s">
        <v>240</v>
      </c>
      <c r="B16" s="10" t="s">
        <v>290</v>
      </c>
      <c r="C16" s="4">
        <v>5965976</v>
      </c>
      <c r="D16" s="4">
        <v>0</v>
      </c>
      <c r="E16" s="2">
        <v>0</v>
      </c>
      <c r="F16" s="10" t="s">
        <v>246</v>
      </c>
      <c r="G16" s="10" t="s">
        <v>247</v>
      </c>
      <c r="H16" t="s">
        <v>406</v>
      </c>
    </row>
    <row r="17" spans="1:8" x14ac:dyDescent="0.2">
      <c r="A17" s="10" t="s">
        <v>240</v>
      </c>
      <c r="B17" s="10" t="s">
        <v>293</v>
      </c>
      <c r="C17" s="4">
        <v>815958</v>
      </c>
      <c r="D17" s="4">
        <v>0</v>
      </c>
      <c r="E17" s="2">
        <v>0</v>
      </c>
      <c r="F17" s="10" t="s">
        <v>246</v>
      </c>
      <c r="G17" s="10" t="s">
        <v>247</v>
      </c>
      <c r="H17" t="s">
        <v>406</v>
      </c>
    </row>
    <row r="18" spans="1:8" x14ac:dyDescent="0.2">
      <c r="A18" s="10" t="s">
        <v>240</v>
      </c>
      <c r="B18" s="10" t="s">
        <v>296</v>
      </c>
      <c r="C18" s="4">
        <v>1755214</v>
      </c>
      <c r="D18" s="4">
        <v>0</v>
      </c>
      <c r="E18" s="2">
        <v>0</v>
      </c>
      <c r="F18" s="10" t="s">
        <v>246</v>
      </c>
      <c r="G18" s="10" t="s">
        <v>247</v>
      </c>
      <c r="H18" t="s">
        <v>406</v>
      </c>
    </row>
    <row r="19" spans="1:8" x14ac:dyDescent="0.2">
      <c r="A19" s="10" t="s">
        <v>240</v>
      </c>
      <c r="B19" s="10" t="s">
        <v>299</v>
      </c>
      <c r="C19" s="4">
        <v>6723912</v>
      </c>
      <c r="D19" s="4">
        <v>0</v>
      </c>
      <c r="E19" s="2">
        <v>0</v>
      </c>
      <c r="F19" s="10" t="s">
        <v>246</v>
      </c>
      <c r="G19" s="10" t="s">
        <v>247</v>
      </c>
      <c r="H19" t="s">
        <v>406</v>
      </c>
    </row>
    <row r="20" spans="1:8" x14ac:dyDescent="0.2">
      <c r="A20" s="10" t="s">
        <v>240</v>
      </c>
      <c r="B20" s="10" t="s">
        <v>302</v>
      </c>
      <c r="C20" s="4">
        <v>347867</v>
      </c>
      <c r="D20" s="4">
        <v>0</v>
      </c>
      <c r="E20" s="2">
        <v>0</v>
      </c>
      <c r="F20" s="10" t="s">
        <v>246</v>
      </c>
      <c r="G20" s="10" t="s">
        <v>247</v>
      </c>
      <c r="H20" t="s">
        <v>406</v>
      </c>
    </row>
    <row r="21" spans="1:8" x14ac:dyDescent="0.2">
      <c r="A21" s="10" t="s">
        <v>240</v>
      </c>
      <c r="B21" s="10" t="s">
        <v>305</v>
      </c>
      <c r="C21" s="4">
        <v>8297206</v>
      </c>
      <c r="D21" s="4">
        <v>0</v>
      </c>
      <c r="E21" s="2">
        <v>0</v>
      </c>
      <c r="F21" s="10" t="s">
        <v>246</v>
      </c>
      <c r="G21" s="10" t="s">
        <v>247</v>
      </c>
      <c r="H21" t="s">
        <v>406</v>
      </c>
    </row>
    <row r="22" spans="1:8" x14ac:dyDescent="0.2">
      <c r="A22" s="10" t="s">
        <v>240</v>
      </c>
      <c r="B22" s="10" t="s">
        <v>308</v>
      </c>
      <c r="C22" s="4">
        <v>4180806</v>
      </c>
      <c r="D22" s="4">
        <v>0</v>
      </c>
      <c r="E22" s="2">
        <v>0</v>
      </c>
      <c r="F22" s="10" t="s">
        <v>246</v>
      </c>
      <c r="G22" s="10" t="s">
        <v>247</v>
      </c>
      <c r="H22" t="s">
        <v>406</v>
      </c>
    </row>
    <row r="23" spans="1:8" x14ac:dyDescent="0.2">
      <c r="A23" s="10" t="s">
        <v>240</v>
      </c>
      <c r="B23" s="10" t="s">
        <v>311</v>
      </c>
      <c r="C23" s="4">
        <v>4221003</v>
      </c>
      <c r="D23" s="4">
        <v>0</v>
      </c>
      <c r="E23" s="2">
        <v>0</v>
      </c>
      <c r="F23" s="10" t="s">
        <v>246</v>
      </c>
      <c r="G23" s="10" t="s">
        <v>247</v>
      </c>
      <c r="H23" t="s">
        <v>406</v>
      </c>
    </row>
    <row r="24" spans="1:8" x14ac:dyDescent="0.2">
      <c r="A24" s="10" t="s">
        <v>240</v>
      </c>
      <c r="B24" s="10" t="s">
        <v>314</v>
      </c>
      <c r="C24" s="4">
        <v>15674450</v>
      </c>
      <c r="D24" s="4">
        <v>0</v>
      </c>
      <c r="E24" s="2">
        <v>0</v>
      </c>
      <c r="F24" s="10" t="s">
        <v>246</v>
      </c>
      <c r="G24" s="10" t="s">
        <v>247</v>
      </c>
      <c r="H24" t="s">
        <v>406</v>
      </c>
    </row>
    <row r="25" spans="1:8" x14ac:dyDescent="0.2">
      <c r="A25" s="10" t="s">
        <v>240</v>
      </c>
      <c r="B25" s="10" t="s">
        <v>317</v>
      </c>
      <c r="C25" s="4">
        <v>4192803</v>
      </c>
      <c r="D25" s="4">
        <v>0</v>
      </c>
      <c r="E25" s="2">
        <v>0</v>
      </c>
      <c r="F25" s="10" t="s">
        <v>246</v>
      </c>
      <c r="G25" s="10" t="s">
        <v>247</v>
      </c>
      <c r="H25" t="s">
        <v>406</v>
      </c>
    </row>
    <row r="26" spans="1:8" x14ac:dyDescent="0.2">
      <c r="A26" s="10" t="s">
        <v>240</v>
      </c>
      <c r="B26" s="10" t="s">
        <v>320</v>
      </c>
      <c r="C26" s="4">
        <v>15954858</v>
      </c>
      <c r="D26" s="4">
        <v>0</v>
      </c>
      <c r="E26" s="2">
        <v>0</v>
      </c>
      <c r="F26" s="10" t="s">
        <v>246</v>
      </c>
      <c r="G26" s="10" t="s">
        <v>247</v>
      </c>
      <c r="H26" t="s">
        <v>406</v>
      </c>
    </row>
    <row r="27" spans="1:8" x14ac:dyDescent="0.2">
      <c r="A27" s="10" t="s">
        <v>240</v>
      </c>
      <c r="B27" s="10" t="s">
        <v>323</v>
      </c>
      <c r="C27" s="4">
        <v>6551512</v>
      </c>
      <c r="D27" s="4">
        <v>0</v>
      </c>
      <c r="E27" s="2">
        <v>0</v>
      </c>
      <c r="F27" s="10" t="s">
        <v>246</v>
      </c>
      <c r="G27" s="10" t="s">
        <v>247</v>
      </c>
      <c r="H27" t="s">
        <v>406</v>
      </c>
    </row>
    <row r="28" spans="1:8" x14ac:dyDescent="0.2">
      <c r="A28" s="10" t="s">
        <v>240</v>
      </c>
      <c r="B28" s="10" t="s">
        <v>326</v>
      </c>
      <c r="C28" s="6">
        <v>-2796532</v>
      </c>
      <c r="D28" s="4">
        <v>0</v>
      </c>
      <c r="E28" s="2">
        <v>0</v>
      </c>
      <c r="F28" s="10" t="s">
        <v>246</v>
      </c>
      <c r="G28" s="10" t="s">
        <v>247</v>
      </c>
      <c r="H28" t="s">
        <v>406</v>
      </c>
    </row>
    <row r="29" spans="1:8" x14ac:dyDescent="0.2">
      <c r="A29" s="10" t="s">
        <v>401</v>
      </c>
      <c r="B29" s="10" t="s">
        <v>326</v>
      </c>
      <c r="C29" s="4">
        <v>2796532</v>
      </c>
      <c r="D29" s="4">
        <v>0</v>
      </c>
      <c r="E29" s="2">
        <v>0</v>
      </c>
      <c r="F29" s="10" t="s">
        <v>246</v>
      </c>
      <c r="G29" s="10" t="s">
        <v>247</v>
      </c>
      <c r="H29" t="s">
        <v>406</v>
      </c>
    </row>
    <row r="30" spans="1:8" x14ac:dyDescent="0.2">
      <c r="A30" s="10" t="s">
        <v>240</v>
      </c>
      <c r="B30" s="10" t="s">
        <v>331</v>
      </c>
      <c r="C30" s="4">
        <v>437827</v>
      </c>
      <c r="D30" s="4">
        <v>0</v>
      </c>
      <c r="E30" s="2">
        <v>0</v>
      </c>
      <c r="F30" s="10" t="s">
        <v>246</v>
      </c>
      <c r="G30" s="10" t="s">
        <v>247</v>
      </c>
      <c r="H30" t="s">
        <v>406</v>
      </c>
    </row>
    <row r="31" spans="1:8" x14ac:dyDescent="0.2">
      <c r="A31" s="10" t="s">
        <v>401</v>
      </c>
      <c r="B31" s="10" t="s">
        <v>331</v>
      </c>
      <c r="C31" s="6">
        <v>-437827</v>
      </c>
      <c r="D31" s="4">
        <v>0</v>
      </c>
      <c r="E31" s="2">
        <v>0</v>
      </c>
      <c r="F31" s="10" t="s">
        <v>246</v>
      </c>
      <c r="G31" s="10" t="s">
        <v>247</v>
      </c>
      <c r="H31" t="s">
        <v>406</v>
      </c>
    </row>
    <row r="32" spans="1:8" x14ac:dyDescent="0.2">
      <c r="A32" s="10" t="s">
        <v>240</v>
      </c>
      <c r="B32" s="10" t="s">
        <v>334</v>
      </c>
      <c r="C32" s="4">
        <v>1970531</v>
      </c>
      <c r="D32" s="4">
        <v>0</v>
      </c>
      <c r="E32" s="2">
        <v>0</v>
      </c>
      <c r="F32" s="10" t="s">
        <v>246</v>
      </c>
      <c r="G32" s="10" t="s">
        <v>247</v>
      </c>
      <c r="H32" t="s">
        <v>406</v>
      </c>
    </row>
    <row r="33" spans="1:8" x14ac:dyDescent="0.2">
      <c r="A33" s="10" t="s">
        <v>401</v>
      </c>
      <c r="B33" s="10" t="s">
        <v>334</v>
      </c>
      <c r="C33" s="6">
        <v>-1970531</v>
      </c>
      <c r="D33" s="4">
        <v>0</v>
      </c>
      <c r="E33" s="2">
        <v>0</v>
      </c>
      <c r="F33" s="10" t="s">
        <v>246</v>
      </c>
      <c r="G33" s="10" t="s">
        <v>247</v>
      </c>
      <c r="H33" t="s">
        <v>406</v>
      </c>
    </row>
    <row r="34" spans="1:8" x14ac:dyDescent="0.2">
      <c r="A34" s="10" t="s">
        <v>240</v>
      </c>
      <c r="B34" s="10" t="s">
        <v>337</v>
      </c>
      <c r="C34" s="4">
        <v>6750238</v>
      </c>
      <c r="D34" s="4">
        <v>0</v>
      </c>
      <c r="E34" s="2">
        <v>0</v>
      </c>
      <c r="F34" s="10" t="s">
        <v>246</v>
      </c>
      <c r="G34" s="10" t="s">
        <v>247</v>
      </c>
      <c r="H34" t="s">
        <v>406</v>
      </c>
    </row>
    <row r="35" spans="1:8" x14ac:dyDescent="0.2">
      <c r="A35" s="10" t="s">
        <v>401</v>
      </c>
      <c r="B35" s="10" t="s">
        <v>337</v>
      </c>
      <c r="C35" s="6">
        <v>-6750238</v>
      </c>
      <c r="D35" s="4">
        <v>0</v>
      </c>
      <c r="E35" s="2">
        <v>0</v>
      </c>
      <c r="F35" s="10" t="s">
        <v>246</v>
      </c>
      <c r="G35" s="10" t="s">
        <v>247</v>
      </c>
      <c r="H35" t="s">
        <v>406</v>
      </c>
    </row>
    <row r="36" spans="1:8" x14ac:dyDescent="0.2">
      <c r="A36" s="10" t="s">
        <v>240</v>
      </c>
      <c r="B36" s="10" t="s">
        <v>340</v>
      </c>
      <c r="C36" s="4">
        <v>7379673</v>
      </c>
      <c r="D36" s="4">
        <v>0</v>
      </c>
      <c r="E36" s="2">
        <v>0</v>
      </c>
      <c r="F36" s="10" t="s">
        <v>246</v>
      </c>
      <c r="G36" s="10" t="s">
        <v>247</v>
      </c>
      <c r="H36" t="s">
        <v>406</v>
      </c>
    </row>
    <row r="37" spans="1:8" x14ac:dyDescent="0.2">
      <c r="A37" s="10" t="s">
        <v>401</v>
      </c>
      <c r="B37" s="10" t="s">
        <v>340</v>
      </c>
      <c r="C37" s="6">
        <v>-7379673</v>
      </c>
      <c r="D37" s="4">
        <v>0</v>
      </c>
      <c r="E37" s="2">
        <v>0</v>
      </c>
      <c r="F37" s="10" t="s">
        <v>246</v>
      </c>
      <c r="G37" s="10" t="s">
        <v>247</v>
      </c>
      <c r="H37" t="s">
        <v>406</v>
      </c>
    </row>
    <row r="38" spans="1:8" x14ac:dyDescent="0.2">
      <c r="A38" s="10" t="s">
        <v>240</v>
      </c>
      <c r="B38" s="10" t="s">
        <v>343</v>
      </c>
      <c r="C38" s="4">
        <v>10811749</v>
      </c>
      <c r="D38" s="4">
        <v>0</v>
      </c>
      <c r="E38" s="2">
        <v>0</v>
      </c>
      <c r="F38" s="10" t="s">
        <v>246</v>
      </c>
      <c r="G38" s="10" t="s">
        <v>247</v>
      </c>
      <c r="H38" t="s">
        <v>406</v>
      </c>
    </row>
    <row r="39" spans="1:8" x14ac:dyDescent="0.2">
      <c r="A39" s="10" t="s">
        <v>401</v>
      </c>
      <c r="B39" s="10" t="s">
        <v>343</v>
      </c>
      <c r="C39" s="6">
        <v>-10811749</v>
      </c>
      <c r="D39" s="4">
        <v>0</v>
      </c>
      <c r="E39" s="2">
        <v>0</v>
      </c>
      <c r="F39" s="10" t="s">
        <v>246</v>
      </c>
      <c r="G39" s="10" t="s">
        <v>247</v>
      </c>
      <c r="H39" t="s">
        <v>406</v>
      </c>
    </row>
    <row r="40" spans="1:8" x14ac:dyDescent="0.2">
      <c r="A40" s="10" t="s">
        <v>240</v>
      </c>
      <c r="B40" s="10" t="s">
        <v>346</v>
      </c>
      <c r="C40" s="4">
        <v>3097524</v>
      </c>
      <c r="D40" s="4">
        <v>0</v>
      </c>
      <c r="E40" s="2">
        <v>0</v>
      </c>
      <c r="F40" s="10" t="s">
        <v>246</v>
      </c>
      <c r="G40" s="10" t="s">
        <v>247</v>
      </c>
      <c r="H40" t="s">
        <v>406</v>
      </c>
    </row>
    <row r="41" spans="1:8" x14ac:dyDescent="0.2">
      <c r="A41" s="10" t="s">
        <v>401</v>
      </c>
      <c r="B41" s="10" t="s">
        <v>346</v>
      </c>
      <c r="C41" s="6">
        <v>-3097524</v>
      </c>
      <c r="D41" s="4">
        <v>0</v>
      </c>
      <c r="E41" s="2">
        <v>0</v>
      </c>
      <c r="F41" s="10" t="s">
        <v>246</v>
      </c>
      <c r="G41" s="10" t="s">
        <v>247</v>
      </c>
      <c r="H41" t="s">
        <v>406</v>
      </c>
    </row>
    <row r="42" spans="1:8" x14ac:dyDescent="0.2">
      <c r="A42" s="10" t="s">
        <v>240</v>
      </c>
      <c r="B42" s="10" t="s">
        <v>349</v>
      </c>
      <c r="C42" s="6">
        <v>-401363</v>
      </c>
      <c r="D42" s="4">
        <v>0</v>
      </c>
      <c r="E42" s="2">
        <v>0</v>
      </c>
      <c r="F42" s="10" t="s">
        <v>246</v>
      </c>
      <c r="G42" s="10" t="s">
        <v>247</v>
      </c>
      <c r="H42" t="s">
        <v>406</v>
      </c>
    </row>
    <row r="43" spans="1:8" x14ac:dyDescent="0.2">
      <c r="A43" s="10" t="s">
        <v>401</v>
      </c>
      <c r="B43" s="10" t="s">
        <v>349</v>
      </c>
      <c r="C43" s="4">
        <v>401363</v>
      </c>
      <c r="D43" s="4">
        <v>0</v>
      </c>
      <c r="E43" s="2">
        <v>0</v>
      </c>
      <c r="F43" s="10" t="s">
        <v>246</v>
      </c>
      <c r="G43" s="10" t="s">
        <v>247</v>
      </c>
      <c r="H43" t="s">
        <v>406</v>
      </c>
    </row>
    <row r="44" spans="1:8" x14ac:dyDescent="0.2">
      <c r="A44" s="10" t="s">
        <v>240</v>
      </c>
      <c r="B44" s="10" t="s">
        <v>352</v>
      </c>
      <c r="C44" s="4">
        <v>6878078</v>
      </c>
      <c r="D44" s="4">
        <v>0</v>
      </c>
      <c r="E44" s="2">
        <v>0</v>
      </c>
      <c r="F44" s="10" t="s">
        <v>246</v>
      </c>
      <c r="G44" s="10" t="s">
        <v>247</v>
      </c>
      <c r="H44" t="s">
        <v>406</v>
      </c>
    </row>
    <row r="45" spans="1:8" x14ac:dyDescent="0.2">
      <c r="A45" s="10" t="s">
        <v>401</v>
      </c>
      <c r="B45" s="10" t="s">
        <v>352</v>
      </c>
      <c r="C45" s="6">
        <v>-6878078</v>
      </c>
      <c r="D45" s="4">
        <v>0</v>
      </c>
      <c r="E45" s="2">
        <v>0</v>
      </c>
      <c r="F45" s="10" t="s">
        <v>246</v>
      </c>
      <c r="G45" s="10" t="s">
        <v>247</v>
      </c>
      <c r="H45" t="s">
        <v>406</v>
      </c>
    </row>
    <row r="46" spans="1:8" x14ac:dyDescent="0.2">
      <c r="A46" s="10" t="s">
        <v>240</v>
      </c>
      <c r="B46" s="10" t="s">
        <v>355</v>
      </c>
      <c r="C46" s="4">
        <v>1919429</v>
      </c>
      <c r="D46" s="4">
        <v>0</v>
      </c>
      <c r="E46" s="2">
        <v>0</v>
      </c>
      <c r="F46" s="10" t="s">
        <v>246</v>
      </c>
      <c r="G46" s="10" t="s">
        <v>247</v>
      </c>
      <c r="H46" t="s">
        <v>406</v>
      </c>
    </row>
    <row r="47" spans="1:8" x14ac:dyDescent="0.2">
      <c r="A47" s="10" t="s">
        <v>401</v>
      </c>
      <c r="B47" s="10" t="s">
        <v>355</v>
      </c>
      <c r="C47" s="6">
        <v>-1919429</v>
      </c>
      <c r="D47" s="4">
        <v>0</v>
      </c>
      <c r="E47" s="2">
        <v>0</v>
      </c>
      <c r="F47" s="10" t="s">
        <v>246</v>
      </c>
      <c r="G47" s="10" t="s">
        <v>247</v>
      </c>
      <c r="H47" t="s">
        <v>406</v>
      </c>
    </row>
    <row r="48" spans="1:8" x14ac:dyDescent="0.2">
      <c r="A48" s="10" t="s">
        <v>240</v>
      </c>
      <c r="B48" s="10" t="s">
        <v>358</v>
      </c>
      <c r="C48" s="6">
        <v>-167418</v>
      </c>
      <c r="D48" s="4">
        <v>0</v>
      </c>
      <c r="E48" s="2">
        <v>0</v>
      </c>
      <c r="F48" s="10" t="s">
        <v>246</v>
      </c>
      <c r="G48" s="10" t="s">
        <v>247</v>
      </c>
      <c r="H48" t="s">
        <v>406</v>
      </c>
    </row>
    <row r="49" spans="1:8" x14ac:dyDescent="0.2">
      <c r="A49" s="10" t="s">
        <v>401</v>
      </c>
      <c r="B49" s="10" t="s">
        <v>358</v>
      </c>
      <c r="C49" s="4">
        <v>167418</v>
      </c>
      <c r="D49" s="4">
        <v>0</v>
      </c>
      <c r="E49" s="2">
        <v>0</v>
      </c>
      <c r="F49" s="10" t="s">
        <v>246</v>
      </c>
      <c r="G49" s="10" t="s">
        <v>247</v>
      </c>
      <c r="H49" t="s">
        <v>406</v>
      </c>
    </row>
    <row r="50" spans="1:8" x14ac:dyDescent="0.2">
      <c r="A50" s="10" t="s">
        <v>240</v>
      </c>
      <c r="B50" s="10" t="s">
        <v>361</v>
      </c>
      <c r="C50" s="4">
        <v>423406</v>
      </c>
      <c r="D50" s="4">
        <v>0</v>
      </c>
      <c r="E50" s="2">
        <v>0</v>
      </c>
      <c r="F50" s="10" t="s">
        <v>246</v>
      </c>
      <c r="G50" s="10" t="s">
        <v>247</v>
      </c>
      <c r="H50" t="s">
        <v>406</v>
      </c>
    </row>
    <row r="51" spans="1:8" x14ac:dyDescent="0.2">
      <c r="A51" s="10" t="s">
        <v>401</v>
      </c>
      <c r="B51" s="10" t="s">
        <v>361</v>
      </c>
      <c r="C51" s="6">
        <v>-423406</v>
      </c>
      <c r="D51" s="4">
        <v>0</v>
      </c>
      <c r="E51" s="2">
        <v>0</v>
      </c>
      <c r="F51" s="10" t="s">
        <v>246</v>
      </c>
      <c r="G51" s="10" t="s">
        <v>247</v>
      </c>
      <c r="H51" t="s">
        <v>406</v>
      </c>
    </row>
    <row r="52" spans="1:8" x14ac:dyDescent="0.2">
      <c r="A52" s="10" t="s">
        <v>240</v>
      </c>
      <c r="B52" s="10" t="s">
        <v>364</v>
      </c>
      <c r="C52" s="4">
        <v>334259</v>
      </c>
      <c r="D52" s="4">
        <v>0</v>
      </c>
      <c r="E52" s="2">
        <v>0</v>
      </c>
      <c r="F52" s="10" t="s">
        <v>246</v>
      </c>
      <c r="G52" s="10" t="s">
        <v>247</v>
      </c>
      <c r="H52" t="s">
        <v>406</v>
      </c>
    </row>
    <row r="53" spans="1:8" x14ac:dyDescent="0.2">
      <c r="A53" s="10" t="s">
        <v>401</v>
      </c>
      <c r="B53" s="10" t="s">
        <v>364</v>
      </c>
      <c r="C53" s="6">
        <v>-334259</v>
      </c>
      <c r="D53" s="4">
        <v>0</v>
      </c>
      <c r="E53" s="2">
        <v>0</v>
      </c>
      <c r="F53" s="10" t="s">
        <v>246</v>
      </c>
      <c r="G53" s="10" t="s">
        <v>247</v>
      </c>
      <c r="H53" t="s">
        <v>406</v>
      </c>
    </row>
    <row r="54" spans="1:8" x14ac:dyDescent="0.2">
      <c r="A54" s="10" t="s">
        <v>240</v>
      </c>
      <c r="B54" s="10" t="s">
        <v>367</v>
      </c>
      <c r="C54" s="4">
        <v>8522266</v>
      </c>
      <c r="D54" s="4">
        <v>0</v>
      </c>
      <c r="E54" s="2">
        <v>0</v>
      </c>
      <c r="F54" s="10" t="s">
        <v>246</v>
      </c>
      <c r="G54" s="10" t="s">
        <v>247</v>
      </c>
      <c r="H54" t="s">
        <v>406</v>
      </c>
    </row>
    <row r="55" spans="1:8" x14ac:dyDescent="0.2">
      <c r="A55" s="10" t="s">
        <v>401</v>
      </c>
      <c r="B55" s="10" t="s">
        <v>367</v>
      </c>
      <c r="C55" s="6">
        <v>-8522266</v>
      </c>
      <c r="D55" s="4">
        <v>0</v>
      </c>
      <c r="E55" s="2">
        <v>0</v>
      </c>
      <c r="F55" s="10" t="s">
        <v>246</v>
      </c>
      <c r="G55" s="10" t="s">
        <v>247</v>
      </c>
      <c r="H55" t="s">
        <v>406</v>
      </c>
    </row>
    <row r="56" spans="1:8" x14ac:dyDescent="0.2">
      <c r="A56" s="10" t="s">
        <v>240</v>
      </c>
      <c r="B56" s="10" t="s">
        <v>370</v>
      </c>
      <c r="C56" s="4">
        <v>3754731</v>
      </c>
      <c r="D56" s="4">
        <v>0</v>
      </c>
      <c r="E56" s="2">
        <v>0</v>
      </c>
      <c r="F56" s="10" t="s">
        <v>246</v>
      </c>
      <c r="G56" s="10" t="s">
        <v>247</v>
      </c>
      <c r="H56" t="s">
        <v>406</v>
      </c>
    </row>
    <row r="57" spans="1:8" x14ac:dyDescent="0.2">
      <c r="A57" s="10" t="s">
        <v>401</v>
      </c>
      <c r="B57" s="10" t="s">
        <v>370</v>
      </c>
      <c r="C57" s="6">
        <v>-3754731</v>
      </c>
      <c r="D57" s="4">
        <v>0</v>
      </c>
      <c r="E57" s="2">
        <v>0</v>
      </c>
      <c r="F57" s="10" t="s">
        <v>246</v>
      </c>
      <c r="G57" s="10" t="s">
        <v>247</v>
      </c>
      <c r="H57" t="s">
        <v>406</v>
      </c>
    </row>
    <row r="58" spans="1:8" x14ac:dyDescent="0.2">
      <c r="A58" s="10" t="s">
        <v>240</v>
      </c>
      <c r="B58" s="10" t="s">
        <v>373</v>
      </c>
      <c r="C58" s="4">
        <v>4105810</v>
      </c>
      <c r="D58" s="4">
        <v>0</v>
      </c>
      <c r="E58" s="2">
        <v>0</v>
      </c>
      <c r="F58" s="10" t="s">
        <v>246</v>
      </c>
      <c r="G58" s="10" t="s">
        <v>247</v>
      </c>
      <c r="H58" t="s">
        <v>406</v>
      </c>
    </row>
    <row r="59" spans="1:8" x14ac:dyDescent="0.2">
      <c r="A59" s="10" t="s">
        <v>401</v>
      </c>
      <c r="B59" s="10" t="s">
        <v>373</v>
      </c>
      <c r="C59" s="6">
        <v>-4105810</v>
      </c>
      <c r="D59" s="4">
        <v>0</v>
      </c>
      <c r="E59" s="2">
        <v>0</v>
      </c>
      <c r="F59" s="10" t="s">
        <v>246</v>
      </c>
      <c r="G59" s="10" t="s">
        <v>247</v>
      </c>
      <c r="H59" t="s">
        <v>406</v>
      </c>
    </row>
    <row r="60" spans="1:8" x14ac:dyDescent="0.2">
      <c r="A60" s="10" t="s">
        <v>240</v>
      </c>
      <c r="B60" s="10" t="s">
        <v>376</v>
      </c>
      <c r="C60" s="4">
        <v>33030510</v>
      </c>
      <c r="D60" s="4">
        <v>0</v>
      </c>
      <c r="E60" s="2">
        <v>0</v>
      </c>
      <c r="F60" s="10" t="s">
        <v>246</v>
      </c>
      <c r="G60" s="10" t="s">
        <v>247</v>
      </c>
      <c r="H60" t="s">
        <v>406</v>
      </c>
    </row>
    <row r="61" spans="1:8" x14ac:dyDescent="0.2">
      <c r="A61" s="10" t="s">
        <v>401</v>
      </c>
      <c r="B61" s="10" t="s">
        <v>376</v>
      </c>
      <c r="C61" s="6">
        <v>-33030510</v>
      </c>
      <c r="D61" s="4">
        <v>0</v>
      </c>
      <c r="E61" s="2">
        <v>0</v>
      </c>
      <c r="F61" s="10" t="s">
        <v>246</v>
      </c>
      <c r="G61" s="10" t="s">
        <v>247</v>
      </c>
      <c r="H61" t="s">
        <v>406</v>
      </c>
    </row>
    <row r="62" spans="1:8" x14ac:dyDescent="0.2">
      <c r="A62" s="10" t="s">
        <v>240</v>
      </c>
      <c r="B62" s="10" t="s">
        <v>380</v>
      </c>
      <c r="C62" s="4">
        <v>14527439</v>
      </c>
      <c r="D62" s="4">
        <v>0</v>
      </c>
      <c r="E62" s="2">
        <v>0</v>
      </c>
      <c r="F62" s="10" t="s">
        <v>246</v>
      </c>
      <c r="G62" s="10" t="s">
        <v>247</v>
      </c>
      <c r="H62" t="s">
        <v>406</v>
      </c>
    </row>
    <row r="63" spans="1:8" x14ac:dyDescent="0.2">
      <c r="A63" s="10" t="s">
        <v>401</v>
      </c>
      <c r="B63" s="10" t="s">
        <v>380</v>
      </c>
      <c r="C63" s="6">
        <v>-14527439</v>
      </c>
      <c r="D63" s="4">
        <v>0</v>
      </c>
      <c r="E63" s="2">
        <v>0</v>
      </c>
      <c r="F63" s="10" t="s">
        <v>246</v>
      </c>
      <c r="G63" s="10" t="s">
        <v>247</v>
      </c>
      <c r="H63" t="s">
        <v>406</v>
      </c>
    </row>
    <row r="64" spans="1:8" x14ac:dyDescent="0.2">
      <c r="A64" s="10" t="s">
        <v>240</v>
      </c>
      <c r="B64" s="10" t="s">
        <v>383</v>
      </c>
      <c r="C64" s="4">
        <v>6701574</v>
      </c>
      <c r="D64" s="4">
        <v>0</v>
      </c>
      <c r="E64" s="2">
        <v>0</v>
      </c>
      <c r="F64" s="10" t="s">
        <v>246</v>
      </c>
      <c r="G64" s="10" t="s">
        <v>247</v>
      </c>
      <c r="H64" t="s">
        <v>406</v>
      </c>
    </row>
    <row r="65" spans="1:8" x14ac:dyDescent="0.2">
      <c r="A65" s="10" t="s">
        <v>401</v>
      </c>
      <c r="B65" s="10" t="s">
        <v>383</v>
      </c>
      <c r="C65" s="6">
        <v>-6701574</v>
      </c>
      <c r="D65" s="4">
        <v>0</v>
      </c>
      <c r="E65" s="2">
        <v>0</v>
      </c>
      <c r="F65" s="10" t="s">
        <v>246</v>
      </c>
      <c r="G65" s="10" t="s">
        <v>247</v>
      </c>
      <c r="H65" t="s">
        <v>406</v>
      </c>
    </row>
    <row r="66" spans="1:8" x14ac:dyDescent="0.2">
      <c r="A66" s="10" t="s">
        <v>240</v>
      </c>
      <c r="B66" s="10" t="s">
        <v>386</v>
      </c>
      <c r="C66" s="4">
        <v>1737327</v>
      </c>
      <c r="D66" s="4">
        <v>0</v>
      </c>
      <c r="E66" s="2">
        <v>0</v>
      </c>
      <c r="F66" s="10" t="s">
        <v>246</v>
      </c>
      <c r="G66" s="10" t="s">
        <v>247</v>
      </c>
      <c r="H66" t="s">
        <v>406</v>
      </c>
    </row>
    <row r="67" spans="1:8" x14ac:dyDescent="0.2">
      <c r="A67" s="10" t="s">
        <v>401</v>
      </c>
      <c r="B67" s="10" t="s">
        <v>386</v>
      </c>
      <c r="C67" s="6">
        <v>-1737327</v>
      </c>
      <c r="D67" s="4">
        <v>0</v>
      </c>
      <c r="E67" s="2">
        <v>0</v>
      </c>
      <c r="F67" s="10" t="s">
        <v>246</v>
      </c>
      <c r="G67" s="10" t="s">
        <v>247</v>
      </c>
      <c r="H67" t="s">
        <v>406</v>
      </c>
    </row>
    <row r="68" spans="1:8" x14ac:dyDescent="0.2">
      <c r="A68" s="10" t="s">
        <v>240</v>
      </c>
      <c r="B68" s="10" t="s">
        <v>390</v>
      </c>
      <c r="C68" s="4">
        <v>428079</v>
      </c>
      <c r="D68" s="4">
        <v>0</v>
      </c>
      <c r="E68" s="2">
        <v>0</v>
      </c>
      <c r="F68" s="10" t="s">
        <v>246</v>
      </c>
      <c r="G68" s="10" t="s">
        <v>247</v>
      </c>
      <c r="H68" t="s">
        <v>406</v>
      </c>
    </row>
    <row r="69" spans="1:8" x14ac:dyDescent="0.2">
      <c r="A69" s="10" t="s">
        <v>401</v>
      </c>
      <c r="B69" s="10" t="s">
        <v>390</v>
      </c>
      <c r="C69" s="6">
        <v>-428079</v>
      </c>
      <c r="D69" s="4">
        <v>0</v>
      </c>
      <c r="E69" s="2">
        <v>0</v>
      </c>
      <c r="F69" s="10" t="s">
        <v>246</v>
      </c>
      <c r="G69" s="10" t="s">
        <v>247</v>
      </c>
      <c r="H69" t="s">
        <v>406</v>
      </c>
    </row>
    <row r="70" spans="1:8" x14ac:dyDescent="0.2">
      <c r="A70" s="10" t="s">
        <v>240</v>
      </c>
      <c r="B70" s="10" t="s">
        <v>393</v>
      </c>
      <c r="C70" s="4">
        <v>727688</v>
      </c>
      <c r="D70" s="4">
        <v>0</v>
      </c>
      <c r="E70" s="2">
        <v>0</v>
      </c>
      <c r="F70" s="10" t="s">
        <v>246</v>
      </c>
      <c r="G70" s="10" t="s">
        <v>247</v>
      </c>
      <c r="H70" t="s">
        <v>406</v>
      </c>
    </row>
    <row r="71" spans="1:8" x14ac:dyDescent="0.2">
      <c r="A71" s="10" t="s">
        <v>401</v>
      </c>
      <c r="B71" s="10" t="s">
        <v>393</v>
      </c>
      <c r="C71" s="6">
        <v>-727688</v>
      </c>
      <c r="D71" s="4">
        <v>0</v>
      </c>
      <c r="E71" s="2">
        <v>0</v>
      </c>
      <c r="F71" s="10" t="s">
        <v>246</v>
      </c>
      <c r="G71" s="10" t="s">
        <v>247</v>
      </c>
      <c r="H71" t="s">
        <v>406</v>
      </c>
    </row>
    <row r="72" spans="1:8" x14ac:dyDescent="0.2">
      <c r="A72" s="10" t="s">
        <v>240</v>
      </c>
      <c r="B72" s="10" t="s">
        <v>396</v>
      </c>
      <c r="C72" s="4">
        <v>710964</v>
      </c>
      <c r="D72" s="4">
        <v>0</v>
      </c>
      <c r="E72" s="2">
        <v>0</v>
      </c>
      <c r="F72" s="10" t="s">
        <v>246</v>
      </c>
      <c r="G72" s="10" t="s">
        <v>247</v>
      </c>
      <c r="H72" t="s">
        <v>406</v>
      </c>
    </row>
    <row r="73" spans="1:8" x14ac:dyDescent="0.2">
      <c r="A73" s="10" t="s">
        <v>401</v>
      </c>
      <c r="B73" s="10" t="s">
        <v>396</v>
      </c>
      <c r="C73" s="6">
        <v>-710964</v>
      </c>
      <c r="D73" s="4">
        <v>0</v>
      </c>
      <c r="E73" s="2">
        <v>0</v>
      </c>
      <c r="F73" s="10" t="s">
        <v>246</v>
      </c>
      <c r="G73" s="10" t="s">
        <v>247</v>
      </c>
      <c r="H73" t="s">
        <v>406</v>
      </c>
    </row>
    <row r="74" spans="1:8" x14ac:dyDescent="0.2">
      <c r="A74" s="10" t="s">
        <v>240</v>
      </c>
      <c r="B74" s="10" t="s">
        <v>399</v>
      </c>
      <c r="C74" s="4">
        <v>11637466</v>
      </c>
      <c r="D74" s="4">
        <v>0</v>
      </c>
      <c r="E74" s="2">
        <v>0</v>
      </c>
      <c r="F74" s="10" t="s">
        <v>246</v>
      </c>
      <c r="G74" s="10" t="s">
        <v>247</v>
      </c>
      <c r="H74" t="s">
        <v>406</v>
      </c>
    </row>
    <row r="75" spans="1:8" x14ac:dyDescent="0.2">
      <c r="A75" s="10" t="s">
        <v>401</v>
      </c>
      <c r="B75" s="10" t="s">
        <v>399</v>
      </c>
      <c r="C75" s="6">
        <v>-11637466</v>
      </c>
      <c r="D75" s="4">
        <v>0</v>
      </c>
      <c r="E75" s="2">
        <v>0</v>
      </c>
      <c r="F75" s="10" t="s">
        <v>246</v>
      </c>
      <c r="G75" s="10" t="s">
        <v>247</v>
      </c>
      <c r="H75" t="s">
        <v>406</v>
      </c>
    </row>
  </sheetData>
  <autoFilter ref="A1:H75">
    <sortState ref="A2:H75">
      <sortCondition ref="B1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KONEKSITAS</vt:lpstr>
      <vt:lpstr>KONEKSTAS AR</vt:lpstr>
      <vt:lpstr>KONEKSTAS UII</vt:lpstr>
      <vt:lpstr>SELISIH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Sinatra Kusuma</dc:creator>
  <cp:lastModifiedBy>Sinatra Kusuma</cp:lastModifiedBy>
  <dcterms:created xsi:type="dcterms:W3CDTF">2024-06-01T22:50:35Z</dcterms:created>
  <dcterms:modified xsi:type="dcterms:W3CDTF">2024-06-01T23:20:44Z</dcterms:modified>
</cp:coreProperties>
</file>